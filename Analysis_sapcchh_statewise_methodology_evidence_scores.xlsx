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hodology_Protocol" sheetId="1" r:id="rId5"/>
    <sheet state="visible" name="All_States_Evidence" sheetId="2" r:id="rId6"/>
    <sheet state="visible" name="Scores" sheetId="3" r:id="rId7"/>
    <sheet state="hidden" name="AM_new_scores_int"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tc={725549e9-ab56-4063-a813-1d0b6375455e}</author>
    <author>tc={792f76e4-c469-4bf5-aee8-b6543c8167b3}</author>
    <author>tc={7fd8c206-3751-4503-aa98-2130b0621dd5}</author>
    <author>tc={9204032c-4098-4f27-8b12-eeaeb695428d}</author>
  </authors>
  <commentList>
    <comment authorId="0" xr:uid="{725549e9-ab56-4063-a813-1d0b6375455e}" ref="D14">
      <text>
        <t xml:space="preserve">[Threaded comment]
 Your version of Excel allows you to read this threaded comment; however, any edits to it will get removed if the file is opened in a newer version of Excel. Learn more: https://go.microsoft.com/fwlink/?linkid=870924
Comment:
	@patil19.shreyas@gmail.com
Assigned to patil19.shreyas@gmail.com
</t>
      </text>
    </comment>
    <comment authorId="1" xr:uid="{792f76e4-c469-4bf5-aee8-b6543c8167b3}" ref="F17">
      <text>
        <t xml:space="preserve">[Threaded comment]
 Your version of Excel allows you to read this threaded comment; however, any edits to it will get removed if the file is opened in a newer version of Excel. Learn more: https://go.microsoft.com/fwlink/?linkid=870924
Comment:
	@patil19.shreyas@gmail.com
Assigned to patil19.shreyas@gmail.com
</t>
      </text>
    </comment>
    <comment authorId="2" xr:uid="{7fd8c206-3751-4503-aa98-2130b0621dd5}" ref="E12">
      <text>
        <t xml:space="preserve">[Threaded comment]
 Your version of Excel allows you to read this threaded comment; however, any edits to it will get removed if the file is opened in a newer version of Excel. Learn more: https://go.microsoft.com/fwlink/?linkid=870924
Comment:
	This is great! This tells me how you did it :)
</t>
      </text>
    </comment>
    <comment authorId="3" xr:uid="{9204032c-4098-4f27-8b12-eeaeb695428d}" ref="E3">
      <text>
        <t xml:space="preserve">[Threaded comment]
 Your version of Excel allows you to read this threaded comment; however, any edits to it will get removed if the file is opened in a newer version of Excel. Learn more: https://go.microsoft.com/fwlink/?linkid=870924
Comment:
	I think this says - "what we found" not how we did it or what we were looking for. So, you might have to fine tune the language.
</t>
      </text>
    </comment>
  </commentList>
</comments>
</file>

<file path=xl/sharedStrings.xml><?xml version="1.0" encoding="utf-8"?>
<sst xmlns="http://schemas.openxmlformats.org/spreadsheetml/2006/main" count="973" uniqueCount="694">
  <si>
    <t>Primary Criteria</t>
  </si>
  <si>
    <t>Secondary criteria</t>
  </si>
  <si>
    <t>Tertiary criteria</t>
  </si>
  <si>
    <t>What are we looking for</t>
  </si>
  <si>
    <t>How did we do it</t>
  </si>
  <si>
    <t>Why did we do so</t>
  </si>
  <si>
    <t>Leadership and enabling environment</t>
  </si>
  <si>
    <t>Ministry of Health leads HNAP development</t>
  </si>
  <si>
    <t>1. Is the MoH involved in the development of the HNAP? If a third party is formulating the HNAP, is it endorsed by the MoH?</t>
  </si>
  <si>
    <t>Involvement of an MoH equivalent body at the state/UT level for the development of the plan</t>
  </si>
  <si>
    <t>As Health is a State subject, we looked for the involvement of the Department of Health &amp; Family Welfare (equivalent of MoH for states) or its acting representatives, like the State Health Minister, etc.</t>
  </si>
  <si>
    <t>As these plans lie at the intersection between climate and health, the HNAPs must be developed in consultation with MoH.</t>
  </si>
  <si>
    <t>2. Is the MoH involved in the implementation of the HNAP?</t>
  </si>
  <si>
    <t>Mention of either an executive role of the MoH equivalent at the state-level or a designated body under it, with a clearly defined implementation function</t>
  </si>
  <si>
    <t>Looked for the mention of any state-level task force and district-level task forces with designated roles and responsibilities for implementing the HNAP.</t>
  </si>
  <si>
    <t>3. Is there a climate change and health unit or focal point designated within the ministry to lead the ongoing HNAP process?</t>
  </si>
  <si>
    <t>Mention of a body as the focal point or a nodal officer with the necessary responsibilities</t>
  </si>
  <si>
    <t>The Environmental Health Cell (EHC) was mentioned to be presided over by a nodal officer. Hence, it was considered to be a focal point designated by the department. It was also mentioned that EHC is responsible for the implementation of the action plan.</t>
  </si>
  <si>
    <t>4. Is there a cross-sectoral NAP co-ordination mechanism, such as a NAP sectoral working group or technical advisory group?</t>
  </si>
  <si>
    <t>Presence of a working group with actors from various health-determining sectors/departments</t>
  </si>
  <si>
    <t>Examined the constitution of the State Task Force was designed to include members from multiple health-determining sectors.</t>
  </si>
  <si>
    <t>Climate-informed health planning and programming</t>
  </si>
  <si>
    <t xml:space="preserve">1. Are there mechanisms to integrate and mainstream climate variability and change considerations into existing health programmes and national health programmes?
 </t>
  </si>
  <si>
    <t>Measures prescribed to improve the planning, implementation and monitoring &amp; surveillance within the existing health programmes, using the information on increased or new vulnerabilities introduced by climate change</t>
  </si>
  <si>
    <t>Action points or processes for integrating the climate change-related information into the planning, implementation and monitoring &amp; surveillance of the health programmes</t>
  </si>
  <si>
    <t xml:space="preserve">Given the increasing vulnerability of health to climate change effects, it is imperative that health programmes adopt a climate change lens to upgrade their capacity to mitigate increasing health impacts. </t>
  </si>
  <si>
    <t>2. Are representatives of health programmes related to climate-sensitive health risks included and involved in the process?</t>
  </si>
  <si>
    <t>Representatives of health programmes in the state/UT or district-level task forces</t>
  </si>
  <si>
    <t>Analysed the composition of the state/UT or district-level task forces</t>
  </si>
  <si>
    <t>Involvement of the representatives from the relevant health programmes is needed to better inform the state action plan of their changing needs and agenda due to climate change impacts.</t>
  </si>
  <si>
    <t>Cross-sectoral coordination and policy coherence</t>
  </si>
  <si>
    <t>Coordination and synergy with health-determining sectors</t>
  </si>
  <si>
    <t>1. Have the relevant health-determining sectors been included in the document? (The process of identification is not mentioned)</t>
  </si>
  <si>
    <t>Mention of the relevant departments in the state/UT or district-level task force</t>
  </si>
  <si>
    <t>The contributing factors to climate-sensitive health risks and diseases are multi-sectoral. Hence, appropriate involvement of relevant sectors/departments is needed for an effective response.</t>
  </si>
  <si>
    <t>2. Has the level of involvement of these sectors been stated?</t>
  </si>
  <si>
    <t>Specific roles and responsibilities of the departments listed in the task force with respect to the impacts of climate change on health</t>
  </si>
  <si>
    <t>Looked for roles and responsibilities, actions, and measures to be undertaken by the member departments to tackle each of the relevant climate-sensitive health risks and diseases listed in the action plan</t>
  </si>
  <si>
    <t>3. Does the HNAP describe cross-sectoral insititutional arrangements already in place and identify additional measures to be implemented?</t>
  </si>
  <si>
    <t>Mention of actions that stated coordination/collaboration between the relevant sectors/departments</t>
  </si>
  <si>
    <t>Searched for advisories on the coordination or collaboration mechanisms with respect to data sharing, communication activities, capacity-building, and surveillance activities, etc.</t>
  </si>
  <si>
    <t>4. Have the stakeholders (apart from the health determining sectors) been mapped out?</t>
  </si>
  <si>
    <t>Involvement of relevant non-governmental, civil society or community health organisations</t>
  </si>
  <si>
    <t>Looked for any list of the relevant non-governmental, civil society or community health organisations</t>
  </si>
  <si>
    <t>Comprehensive coverage of the climate-sensitive health risks</t>
  </si>
  <si>
    <t>Evidence-based HNAP</t>
  </si>
  <si>
    <t>1. Has a comprehensive V &amp; A assessment been performed? If not, has currently available evidence been reviewed to develop the HNAP?  If not, has a comprehensive V &amp; A assessment been included as an activity in the HNAP to inform future planning and iterations</t>
  </si>
  <si>
    <t>Data on the quantification of vulnerability indices, hazard maps, etc. To check if V&amp;A is planned as a future activity, we analysed the budget.</t>
  </si>
  <si>
    <t>Looked for any type of susceptibility maps related to the hazards prevalent in that state/UT. Analysed the budget allocation table to check any mention of V&amp;A activities.</t>
  </si>
  <si>
    <t xml:space="preserve">Comprehensive coverage of context-specific climate-sensitive health risks- </t>
  </si>
  <si>
    <t>1. Is there data supporting the prioritisation of most vulnerable diseases for the state?</t>
  </si>
  <si>
    <t>Disease surveillance data supporting the prioritised climate-sensitive health risks. However, the data/processes supporting this prioritisation is not part of the plans.</t>
  </si>
  <si>
    <t>Analysed the full document to find statistics related to mortality and morbidity of relevant climate-sensitive health risks. In cases of absence of supporting health data/evidence, descriptive statements were found to portray the increasing vulnerability and disease burden.</t>
  </si>
  <si>
    <r>
      <rPr>
        <rFont val="Arial"/>
        <color theme="1"/>
        <sz val="11.0"/>
      </rPr>
      <t xml:space="preserve">2. Does the coverage of climate-sensitive health risks include - </t>
    </r>
    <r>
      <rPr>
        <rFont val="Arial"/>
        <color theme="1"/>
        <sz val="11.0"/>
      </rPr>
      <t>a) climate-sensitive diseases and health outcomes, b) risks to the health system and facilties, c) surveillance ability of the health system to monitor/predict outbreaks, d) availability of critical environmental services (WASH, energy) at the facility level, and d) disease burden of those diseases on the health system?</t>
    </r>
  </si>
  <si>
    <t>Details of the climate-sensitive health risks, data on district-wise population and health facilities affected by climate-sensitive hazards, and the presence of surveillance or alert/early warning mechanisms for the prioritised health risks</t>
  </si>
  <si>
    <t>Searched for information on the burden of climate-sensitive diseases and health outcomes, their effect on the existing health system facilities, their resources, and surveillance capacity</t>
  </si>
  <si>
    <t>3. Does the coverage of each climate sensitive health risk include information related to vulnerable populations determined by geographical, biological, social and other factors?</t>
  </si>
  <si>
    <t>Identification of the vulnerable population for each climate-sensitive health risk based on the relevant factors, and statistical data supporting the identification</t>
  </si>
  <si>
    <t>Looked for population data related to the vulnerable groups based on the relevant factors</t>
  </si>
  <si>
    <t>4. Does the coverage identify medium- and long-term risks?</t>
  </si>
  <si>
    <t>Evaluation of temporal projections of climate-sensitive health risks in the state/UT</t>
  </si>
  <si>
    <t>Looked for temporal data highlighting the projection of climate-sensitive health risks</t>
  </si>
  <si>
    <t>Comprehensive coverage of adaptation options and actions</t>
  </si>
  <si>
    <r>
      <rPr>
        <rFont val="Arial"/>
        <b/>
        <color theme="1"/>
        <sz val="11.0"/>
      </rPr>
      <t>Comprehensive</t>
    </r>
    <r>
      <rPr>
        <rFont val="Arial"/>
        <b/>
        <color theme="1"/>
        <sz val="11.0"/>
      </rPr>
      <t xml:space="preserve"> adaptation </t>
    </r>
    <r>
      <rPr>
        <rFont val="Arial"/>
        <b/>
        <color theme="1"/>
        <sz val="11.0"/>
      </rPr>
      <t>options to address climate-sensitive health risks</t>
    </r>
  </si>
  <si>
    <t>1. Does the HNAP include a comprehensive range of adaptation options for each prioritized climate sensitive health risk?</t>
  </si>
  <si>
    <t>Involvement of health-determining sectors in adaptation planning</t>
  </si>
  <si>
    <t>Analysed the adaptation options to check whether roles and responsibilities were assigned to health-determining (non-health) sectors</t>
  </si>
  <si>
    <t>Adaptation is a cross-sectoral function involving both health and non-health actors, e.g., Ministry of Energy and Transport also play key roles in mitigating the impacts of air pollution in addition to the Ministry of Health which is responsible for treating the health impacts.</t>
  </si>
  <si>
    <t>2. Are the plans for medium and long-term time frames?</t>
  </si>
  <si>
    <t>Adaptation plans phased over multiple years. A 5-year period planning is found in the documents as the SAPCCHH are supposed to be revised every 5 years.</t>
  </si>
  <si>
    <t>Checked for planning of various adaptation activities and looked for an associated timeline</t>
  </si>
  <si>
    <t>Consideration of vulnerability factors to design target adaptation actions</t>
  </si>
  <si>
    <t xml:space="preserve">1. Does the HNAP consider different vulnerable populations (based on factors given on the left) to prioritize climate-sensitive health risks and adaptation actions? </t>
  </si>
  <si>
    <t>Specific adaptation actions tailored to cater to risks faced by the vulnerable population groups</t>
  </si>
  <si>
    <t>Mention of specific adaptation actions for the vulnerable population</t>
  </si>
  <si>
    <t xml:space="preserve">Resourcing </t>
  </si>
  <si>
    <t>Estimation of the required resources for HNAP implementation</t>
  </si>
  <si>
    <t xml:space="preserve">1. Does the HNAP include a budget and human resource estimates needed for adaptation actions outlined?  
</t>
  </si>
  <si>
    <t xml:space="preserve">Comprehensive budget outlining the monetary allocation and human resource requirements for the activities listed in the plan </t>
  </si>
  <si>
    <t>Looked for the mention of the budget and analysed its composition</t>
  </si>
  <si>
    <t>2. Does the HNAP consider existing national capacity on climate change and health and further capacity buidling opportunities at a regional, national and international level?</t>
  </si>
  <si>
    <t>Planning of capacity-building activities for the relevant stakeholders at a regional (district and state) level</t>
  </si>
  <si>
    <t>Looked for the relevant capacity-building activities and checked if budget was allocated</t>
  </si>
  <si>
    <t>Resource mobilization strategy</t>
  </si>
  <si>
    <t xml:space="preserve">1. Does the HNAP outline existing funding sources and funding gaps?
</t>
  </si>
  <si>
    <t>Detailed summary of the available funding sources, and mention of financial gaps, if any</t>
  </si>
  <si>
    <t>Searched for the mention of the funding sources and the financial gaps</t>
  </si>
  <si>
    <t>It is not sufficient to create a budget without the awareness of sufficient means/facilities and the feasibility to procure them. It is crucial to consider the available funding sources and the financial gaps. Performing a cost-benefit analysis is a bonus for motivating the funding agencies to procure funding proactively, for mitigating the impacts of climate change on health systems, instead of being reactive.</t>
  </si>
  <si>
    <t xml:space="preserve">
2. Does it provide a plan to address these gaps and scale up adaptation activities in the future like streamlining adaptation for health into budget allocation processes or seeking external funding (GCF, GEF)?</t>
  </si>
  <si>
    <t>Strategies/Steps to involve external funding sources or reallocate budget internally to address the gaps</t>
  </si>
  <si>
    <t>Looked for the mention of any strategy/step to involve external funding sources or reallocation of proposed budget</t>
  </si>
  <si>
    <t>3. Is there a cost benefit analysis of action/inaction and return on investment?</t>
  </si>
  <si>
    <t>Cost benefit analysis and estimation of return on investment of the planned adaptation actions</t>
  </si>
  <si>
    <t>Looked for the mention of cost-benefit and return on investment analysis</t>
  </si>
  <si>
    <t>Monitoring, evaluation and reporting (MER)</t>
  </si>
  <si>
    <t>HNAP monitoring, evaluation and reporting plan</t>
  </si>
  <si>
    <t>1. Does the M,E&amp;R plan specifies indicators at all levels (outputs/process, outcomes and impact), at specific short-, medium- and long-term timeframes, with designated roles and responsibilities (across sectors) and reporting requirements?
(The comprehensive M,E&amp;R plan describes the indicators, means of verification, frequency of reporting and responsible institution for each objective and action)</t>
  </si>
  <si>
    <t>M,E&amp;R indicators and timeframes, roles, responsibilities, and reporting requirements, across health and the relevant health-determining sectors</t>
  </si>
  <si>
    <t>Looked for M,E&amp;R indicators and timeframes, roles, responsibilities, and reporting requirements across health and health-determining sectors</t>
  </si>
  <si>
    <t>M,E&amp;R plans are necessary to implement the action plans and improve the SAPCCHH in successive iterations.</t>
  </si>
  <si>
    <t>Mechanism for periodic HNAP iterations</t>
  </si>
  <si>
    <t>1. Does the plan specify a period for HNAP iteration? (a five year period is usually recommended)</t>
  </si>
  <si>
    <t>There was a clear indication that the plans were for 5-year duration. Hence, there was no need to look for the iteration process within this short span.</t>
  </si>
  <si>
    <t>Name of the state</t>
  </si>
  <si>
    <t>Andhra Pradesh</t>
  </si>
  <si>
    <t>Arunachal Pradesh</t>
  </si>
  <si>
    <t>Assam</t>
  </si>
  <si>
    <t>Bihar</t>
  </si>
  <si>
    <t>Chhattisgarh</t>
  </si>
  <si>
    <t>Dadra and Nagar Haveli &amp; Daman Diu</t>
  </si>
  <si>
    <t>Delhi</t>
  </si>
  <si>
    <t>Goa</t>
  </si>
  <si>
    <t>Gujarat</t>
  </si>
  <si>
    <t>Himachal Pradesh</t>
  </si>
  <si>
    <t>Jammu &amp;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</si>
  <si>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</si>
  <si>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</si>
  <si>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</si>
  <si>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</si>
  <si>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</si>
  <si>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</si>
  <si>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</si>
  <si>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</si>
  <si>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</si>
  <si>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</si>
  <si>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</si>
  <si>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</si>
  <si>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</si>
  <si>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</si>
  <si>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</si>
  <si>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</si>
  <si>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</si>
  <si>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</si>
  <si>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</si>
  <si>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</si>
  <si>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</si>
  <si>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Yes/No</t>
  </si>
  <si>
    <t>Excerpt/Comments</t>
  </si>
  <si>
    <t>Score</t>
  </si>
  <si>
    <t>Pg. 7 "SAPCCHH is a long-term vision
and planning document prepared by the Department of Health &amp; Family
Welfare, Andhra Pradesh, applicable for up till year 2027."</t>
  </si>
  <si>
    <t>Pg.7 "The SAPCCHH is a long-term vision and planning document prepared by the Department of
Health &amp; Family Welfare, Arunachal Pradesh, applicable for up till the year 2027."</t>
  </si>
  <si>
    <t>Pg 23. "The state level governing body for policy level decision shall be working under
Chairmanship of Honorable State Health Minister."</t>
  </si>
  <si>
    <t>Pg 25. "The proposed State Level Structure of the Governing body will be: 1. Honorable State Health Minister (Health)"</t>
  </si>
  <si>
    <t>Pg 30. "The state level governing body for policy level decision shall be working under
Chairmanship of Honourable State Health Minister."</t>
  </si>
  <si>
    <t>Page no. 23 "The U.T. level governing body of the National Program on Climate Change and Human Health is formed for policy-level decision-making and shall be working under the Chairmanship of Advisor to Hon’ble Administrator, UT of Dadra &amp; Nagar Haveli and Daman &amp; Diu</t>
  </si>
  <si>
    <t>Pg.18 "The state level governing body for policy level decision shall be working under Chairmanship of Honorable State Health Minister."</t>
  </si>
  <si>
    <t>Pg 26. "The state-level governing body shall be working under the Chairmanship of the Honourable State
Health Minister."</t>
  </si>
  <si>
    <t>Pg.11 "This task force shall be working under the guidance of Principal Secretary (Health) of the state."</t>
  </si>
  <si>
    <t>Pg.15 "The state-level governing body is formed for undertaking policy-level decisions and shall be
working under the Chairmanship of the Honourable State Health Minister."</t>
  </si>
  <si>
    <t>Pg.19 "This task force shall be working under the
Chairmanship of Administrative Secretary, Health &amp; Medical Education Department."</t>
  </si>
  <si>
    <t>Pg.23 "The state level governing body for policy level decision shall be working under the Chairmanship of Honourable
State Health Minister"</t>
  </si>
  <si>
    <t>Pg.20 "State Level - Governing Body - Environmental Health"</t>
  </si>
  <si>
    <t>Page no. 10 "SAPCCHH is a long-term vision and planning document prepared by the Department of Health &amp; Family Welfare, Kerala, applicable for up till year 2027."
Page no. 26 "The state level governing body for policy level decision shall be working under Chairmanship of
Honourable State Health Minister."</t>
  </si>
  <si>
    <t>Pg.7 "The State Action Plan on Climate Change and Human Health for the UT of Lakshadweep was prepared by the Directorate of Health Services,
Administration of Lakshadweep."</t>
  </si>
  <si>
    <t>Page no. 22 "The state level governing body for policy level decision shall be working under
Chairmanship of Honourable State Health Minister."</t>
  </si>
  <si>
    <t>Pg.20 "The state level governing body for policy level decision shall be working under
Chairmanship of Honourable State Health Minister."</t>
  </si>
  <si>
    <t>Pg.12 "The state-level governing body for policy-level decisions shall be working
under the Chairmanship of the Hon’ble State Health Minister"</t>
  </si>
  <si>
    <t xml:space="preserve">Pg.78 Principal Secretary, Health &amp; Family Welfare is the Chairman of the State Level Task Force. </t>
  </si>
  <si>
    <t>Pg.65 "State level task force"
It is under the chairmanship of the Principal Secretary, Health &amp; Family Welfare Department, Govt. of Mizoram.</t>
  </si>
  <si>
    <t>Pg.28 "The state level governing body for policy level decision shall be working under Chairmanship
of Commissioner &amp; Secretary."</t>
  </si>
  <si>
    <t>Pg.15 "The state level governing body for policy level decision shall be working under the
Chairmanship of Honorable State Health Minister."</t>
  </si>
  <si>
    <t>Pg 23. "This task force is working under the guidance of the Principal Secretary (Health), working
through the Directorate of Health Services (DHS)."</t>
  </si>
  <si>
    <t>Pg.18 "State Task Force" It is under the chairmanship of the Principal Secretary, Health &amp; Family Welfare Department, Govt. of Punjab.</t>
  </si>
  <si>
    <t>Pg.15 "This task force shall be working under the guidance of Principal Secretary (Health) of the state."</t>
  </si>
  <si>
    <t>Pg.16 "The state level governing body for policy level decision in Sikkim is working under Chairmanship of Honorable State Health Minister."</t>
  </si>
  <si>
    <t>Pg.12 "The state level governing body for policy level decision shall be working under the Chairmanship of Honorable
State Health Minister."
Pg.14 "Preparation and implementation of State Action Plan for Climate Change and Human Health"</t>
  </si>
  <si>
    <t>Pg.19 "The state level governing body for policy level decision shall be working under the Chairmanship of Honorable State Health Minister."</t>
  </si>
  <si>
    <t>Page no. 20 "The State level governing body for policy level decision shall be working under Chairmanship of Hon’ble State Health Minister."</t>
  </si>
  <si>
    <t>Page no. 19 "The state-level governing body for policy level decisions shall be working under the Chairmanship of the Honorable State Health Minister."</t>
  </si>
  <si>
    <t>Page no. 16 "The state level governing body for policy level decision shall be working under the
Chairmanship of Honourable State Health Minister."</t>
  </si>
  <si>
    <t>Page no. 4 "The SAPCCHH is a
long-term vision and planning document prepared by the Department of Health &amp; Family Welfare, West
Bengal, applicable up till the year 2027."</t>
  </si>
  <si>
    <t>Pg.20 "Roles and Responsibilities of the State/ UT Environmental Health Cell: a. Preparation and Implementation of State Action Plan for Climate
Change and Human Health."</t>
  </si>
  <si>
    <t>Pg.20 "Roles and Responsibilities of the Arunachal Pradesh Environmental Health Cell
Preparation and implementation of State Action Plan for Climate Change
and Human Health"</t>
  </si>
  <si>
    <t>Pg. 24 "Roles and responsibilities of State Task Force
1. Establish organizational structure for implementation of programme activities at state
2. Preparation and Implementation of State Action Plan for Climate Change and Human
Health (SAPCCHH)"</t>
  </si>
  <si>
    <t>Pg.23 "The responsibility for implementation of the State Action Plan for Climate Change and Human
Health (SAPCCHH) will be under the chairmanship of the Honourable State Health Minister."</t>
  </si>
  <si>
    <t>Pg.31 "Preparation and Implementation of State Action Plan for Climate Change and Human Health"</t>
  </si>
  <si>
    <t>Page no. 23 "The UT level Task Force / Environment Cell NPCCHH of the National Program on Climate Change and Human Health is formed to facilitate proper implementation of the National Program on Climate Change and Human Health and shall be working under the Chairmanship of Mission Director, National Health Mission, UT of Dadra &amp; Nagar Haveli
and Daman &amp; Diu."</t>
  </si>
  <si>
    <t>Pg.18 "State/ Environment Health
Cell"</t>
  </si>
  <si>
    <t>Pg.26 "Preparation and Implementation of State Action Plan for Climate Change and Human Health"</t>
  </si>
  <si>
    <t>Pg.12 "Preparation and Implementation of State Action Plan for Climate Change and Human Health (SAPCCHH)"</t>
  </si>
  <si>
    <t>Pg.16 "Task Force - Environmental Health"
Pg 17. "Structure at State/ UT Environment Health Cell"</t>
  </si>
  <si>
    <t>Pg.19 "It shall be directly overseeing the implementation of the State/UT Action Plan for Climate Change and Human Health
(SAPCCHH). It shall be working through the Directorate of Health Services (DHS) of the state, which will be the implementing agency for SAPCCHH."</t>
  </si>
  <si>
    <t>Pg.24 "State Level Task Force - Environmental Health"</t>
  </si>
  <si>
    <t>Pg.20 "State Level Task Force - Environmental Health"</t>
  </si>
  <si>
    <t>Page no. 26 "This task force shall be working under the guidance of Principal Secretary (Health) of the state. It shall
be directly overseeing the implementation of the State Action Plan for Climate Change and Human Health (SAPCCHH) in their state/UT. It shall be working through Directorate of Health Services (DHS) of the state, which will be the implementing agency for SAPCCHH."</t>
  </si>
  <si>
    <t>Pg.30 "The roles and responsibilities of State EHC will be as follows."</t>
  </si>
  <si>
    <t>Page no. 22 "This task force shall be working under the guidance of Principal Secretary (Health) of the state. It shall be directly overseeing the implementation of the State Action Plan for Climate Change and Human Health (SAPCCHH) in their state/UT. It shall be working through Directorate of Health Services (DHS) of the state, which will be the
implementing agency for SAPCCHH."</t>
  </si>
  <si>
    <t>Pg.20  "State Level Task Force - Environmental Health"</t>
  </si>
  <si>
    <t>Pg.13 "State-Level Task Force – Environmental Health"</t>
  </si>
  <si>
    <t>Pg.78 "State level level task force"
It is responsible for implementation of SAPCCHH.</t>
  </si>
  <si>
    <t>Pg.62 "State Environmental Health Cell"</t>
  </si>
  <si>
    <t>Pg.28 "Nagaland State Task Force for NPCCHH"</t>
  </si>
  <si>
    <t>Pg.15 "State Level Task Force - Environmental Health"</t>
  </si>
  <si>
    <t>Pg.22 "State Level Task Force - Environmental Health"</t>
  </si>
  <si>
    <t>Pg.18 "State level task force"</t>
  </si>
  <si>
    <t>Pg.15 "It shall be directly overseeing the implementation of the State Action Plan for Climate Change and Human Health
(SAPCCHH) in their state/UT. It shall be working through Directorate of Health Services (DHS) of the state,
which will be the implementing agency for SAPCCHH."</t>
  </si>
  <si>
    <t>Pg.16 "State Level Task Force - Environmental Health"
Pg.20 "Preparation and implementation of State Action Plan for Climate Change and Human Health."</t>
  </si>
  <si>
    <t>Pg.12 "State Level Task Force - Environmental Health"</t>
  </si>
  <si>
    <t>Pg.20 "State Level Task Force - Environmental Health: This task force shall be working under the guidance of Principal Secretary (Health) of the state."</t>
  </si>
  <si>
    <t>Page no. 20 "This task force shall be working under the guidance of Secretary (Health) of the State. It shall
be directly overseeing the implementation of the State Action Plan for Climate Change and Human Health (SAPCCHH) in the State. The members of the State Level Task Force are as
follows:"</t>
  </si>
  <si>
    <t>Page no. 19 "This task force shall be working under the guidance of the Principal Secretary (Health) of the state.
It shall be directly overseeing the implementation of the State Action Plan for Climate Change and Human Health (SAPCCHH) in their state/UT. It shall be working through the Directorate of Health Services (DHS) of the state, which will be the implementing agency for SAPCCHH"</t>
  </si>
  <si>
    <t>Page no. 16 "This task force shall be working under the guidance of Principal Secretary (Health) of the state. It shall be directly overseeing the implementation of the State Action Plan for Climate Change and Human Health (SAPCCHH). It shall be working through the Directorate of Health Services (DHS) of the state, which will be the implementing agency for SAPCCHH."</t>
  </si>
  <si>
    <t>Page no. 19 "For efficient preparation and execution of the State Action Plan on Climate Change and Human Health
(SAPCCHH) a multi-sectoral task force had been formed"</t>
  </si>
  <si>
    <t>Pg.19 "State Environmental Health Cell"</t>
  </si>
  <si>
    <t xml:space="preserve">Pg. 20 "DHS
has constituted an Environmental Health Cell within the State Health Department and
has identified a Nodal Officer from the Health department." </t>
  </si>
  <si>
    <t>Environmental Health Cell is the focal point</t>
  </si>
  <si>
    <t>Pg.26 "Environmental Health Cell"</t>
  </si>
  <si>
    <t>Pg.31 "Environmental Health Cell"</t>
  </si>
  <si>
    <t xml:space="preserve">pg 22. organizational framework, key nodal point is Environmental health cell. </t>
  </si>
  <si>
    <t>Pg.26  "Environmental Health Cell"</t>
  </si>
  <si>
    <t>Pg.13 "Gujarat State EHC"</t>
  </si>
  <si>
    <t>Pg.17 "State/ UT Environment Health Cell"</t>
  </si>
  <si>
    <t>Pg.24 "Environmental Health Cell"</t>
  </si>
  <si>
    <t>Pg.21 "Environmental Health Cell"</t>
  </si>
  <si>
    <t>Page no. 14 "The Environment and Climate Change Department, Government of Kerala has been identified as the
nodal agency for coordinating activities related to climate change in the state."</t>
  </si>
  <si>
    <t>Pg.30 "State Environmental Health Cell (EHC)"</t>
  </si>
  <si>
    <t>Page no. 23 "DHS will create an environmental Health Cell within State Health Department, and will identify a Nodal Officer from Health department which preferably should be a senior Public Health Expert of the state."</t>
  </si>
  <si>
    <t>Pg.22 "State/ UT Environment Health Cell"</t>
  </si>
  <si>
    <t>Pg.13 "State Environment Health Cell"</t>
  </si>
  <si>
    <t>Pg.75 "Environmental Health Cell"</t>
  </si>
  <si>
    <t>Pg.29 "Nagaland Environment Health Cell"</t>
  </si>
  <si>
    <t>Pg.16 "Environmental Health Cell"</t>
  </si>
  <si>
    <t>Pg.23 "State/ UT Environment Health Cell"</t>
  </si>
  <si>
    <t>Pg.19 "Environmental Health Cell"</t>
  </si>
  <si>
    <t>Pg.16 "Rajasthan State Environment Health Cell (EHC)"</t>
  </si>
  <si>
    <t>Pg.19 "State/ UT Environment Health Cell"</t>
  </si>
  <si>
    <t>Pg.14 "State/ UT Environment Health Cell"</t>
  </si>
  <si>
    <t>Pg.21 "Structure at State/ UT Environment Health Cell"</t>
  </si>
  <si>
    <t>Page no. 19 "State Environmental Health Cell (EHC)"</t>
  </si>
  <si>
    <t>Page no. 21 "Uttar Pradesh State Environment Health Cell (EHC)"</t>
  </si>
  <si>
    <t>Page no. 18 "DHS will create an Environmental Health Cell within State Health Department, and will identify a Nodal Officer from Health department which preferably should be a senior
Public Health Expert of the state"</t>
  </si>
  <si>
    <t>Page no. 18 "The Nodal Branch in the State Health Dept. for National Programme for Climate Change &amp; Human
Health (NPCCHH) is the Public Health &amp; Communicable Diseases Branch".</t>
  </si>
  <si>
    <t>Pg.18 &amp; 19. State level and district level task force</t>
  </si>
  <si>
    <t xml:space="preserve">Pg.19 "State Level Task Force - Environmental Health" </t>
  </si>
  <si>
    <t>Pg.49 "Task force"</t>
  </si>
  <si>
    <t>Pg.24 "State level task force"</t>
  </si>
  <si>
    <t>Pg.29 "State Level Task Force"</t>
  </si>
  <si>
    <t>Page no. 23 "UT level Task Force / Environment Cell NPCCHH"</t>
  </si>
  <si>
    <t>Pg. 20 "Task Force"</t>
  </si>
  <si>
    <t>Pg 25. "Establishment of the State Environmental Cell under the Directorate of Health Services has been approved and the constitution of the Multi-Sectoral Task Force has been notified."</t>
  </si>
  <si>
    <t>Pg.11 "Gujarat State Task Force"</t>
  </si>
  <si>
    <t>Pg.16 "Task Force - Environmental Health"</t>
  </si>
  <si>
    <t>Pg.19 "State/UT Level Task Force"</t>
  </si>
  <si>
    <t>Page no. 26 "State Level Task Force - Environmental Health"</t>
  </si>
  <si>
    <t>Pg.30 "STATE LEVEL TASK FORCE – ENVIRONMENTAL HEALTH"</t>
  </si>
  <si>
    <t>Page no. 22 "State Level Task Force - Environmental Health"</t>
  </si>
  <si>
    <t>Pg.78 "State level level task force"</t>
  </si>
  <si>
    <t>Pg.65 "State level task froce"</t>
  </si>
  <si>
    <t>Pg.15 "Rajasthan State Task Force for NPCCHH"</t>
  </si>
  <si>
    <t>Pg.16 "State Level Task Force - Environmental Health"</t>
  </si>
  <si>
    <t>Pg. 13 "The State level Task Force has inter-ministerial members"</t>
  </si>
  <si>
    <t>Page no. 20 "Tripura State Task Force Committee for NPCCHH"</t>
  </si>
  <si>
    <t>Page no. 19 "Uttar Pradesh State Task Force "</t>
  </si>
  <si>
    <t>Page no. 17 "The State level Task Force shall have inter-ministerial members"</t>
  </si>
  <si>
    <t xml:space="preserve">Page no. 19 "For efficient preparation and execution of the State Action Plan on Climate Change and Human Health
(SAPCCHH) a multi-sectoral task force had been formed"
Page no. 22 "Environmental Health Cell"
</t>
  </si>
  <si>
    <t>Pg.39 "Programme Officer for National Programs for Control of Vector-borne Diseases (NVBDCP)
must consider climate variability as an important factor for assessment of morbidity and
mortality statistics and develop/ adapt health micro-plan based on recent VBD diseases
trend."</t>
  </si>
  <si>
    <t xml:space="preserve">"Integrate weather parameters with VBD surveillance under NVBDC at District
level"
</t>
  </si>
  <si>
    <t>Pg. 44" In collaboration with NVBDCP"
Pg.46 "NVBDCP Bihar: Overall guidance and policy formulation"</t>
  </si>
  <si>
    <t>Page no. 20 "To develop partnerships and create synchrony/ synergy with other missions and
ensure that health is adequately represented in the climate change agenda in the U.T. in coordination with the Ministry of Health &amp; Family Welfare."
Page no. 24 "Ensure Convergence with NHM activities and other related programs in the U.T. / District"</t>
  </si>
  <si>
    <t>Pg.20 "Ensure Convergence with NHM activities and other related programs in the State / District"
Pg.33 "Collaborate with NVBDCP"
Pg.35 "Integrate weather parameters with VBD surveillance under NVBDC at District level"</t>
  </si>
  <si>
    <t>Pg.46 "Collaborate with NVBDCP"</t>
  </si>
  <si>
    <t>Pg. 30 "Collaborate with
NVBDCP"
Pg.30 "Plan according to
PIP guidelines11
and in coordination with
NVBDCP"
Pg.32 "
Pg.32 "Integrate weather parameters with VBD surveillance under NVBDC at District level""</t>
  </si>
  <si>
    <t>Pg.18 "Ensure Convergence with NHM activities and other related programs in the State / District"
Pg.62 "In coordination with State Programme Officer NVBDCP and IDSP"</t>
  </si>
  <si>
    <t>Pg.20 "Ensure convergence with NHM activities and other related programs in the state / district" 
Pg.46 "Programme Officer for National Programs for Control of Vector-Borne diseases (NVBDCP) must
consider climate variability as an important factor for the assessment of morbidity and mortality
statistics and develop/ adapt health micro-plan based on recent VBD diseases trend"</t>
  </si>
  <si>
    <t>Pg.25 "Ensure convergence with NHM activities and other related programs in the state / district"
Pg.49 "Programme Officer for National Programs for control of vector borne diseases (NVBDCP) must consider
climate variability as an important factor"</t>
  </si>
  <si>
    <t>Pg.21 "Ensure convergence with NHM activities and other related programs in the State / District"
Pg.47 "The section should be revised every year after December in collaboration with NVBDCP"</t>
  </si>
  <si>
    <t>Page no. 14 "Programmes and Policies related to climate change and health"
Page no. 24 "To develop partnerships and create synchrony/ synergy with other missions and ensure that health is adequately represented in the climate change agenda in the state"</t>
  </si>
  <si>
    <t>Pg.16 "The Health Mission aims to reduce climate-sensitive
illnesses through integration with other missions under National Action Plan for Climate Change (NAPCC) as well as through programs run by various ministries."
Pg.31 "Ensure convergence with NHM activities and other related
programs in the state /district"
Pg.43 "Integrate and coordinate to get support from RashtriyaBalSwasthyaKaryakram and Rashtriya Kishore SwasthyaKaryakram""</t>
  </si>
  <si>
    <t>Page no. 19 "To develop partnerships and create synchrony/ synergy with other missions
and ensure that health is adequately represented in the climate change agenda in the state in coordination with the Ministry of Health &amp; Family Welfare."
Page no. 27 "Ensure convergence with NHM activities and other related programs in the state / district"</t>
  </si>
  <si>
    <t>Pg.23 "Ensure Convergence with NHM activities and other related programs in
the State / District"</t>
  </si>
  <si>
    <t>Pg.14 "Ensure convergence with NHM activities and other related programs in the
state/district Monitor program, review meetings, and field observations"</t>
  </si>
  <si>
    <t>Pg.42 "Collaborate with
NVBDCP"
Pg.45 "Integrate weather parameters with VBD surveillance under NVBDCP at District level"</t>
  </si>
  <si>
    <t>Pg.30 "Ensure Convergence with NHM activities and other related programs in the State and District"</t>
  </si>
  <si>
    <t>Pg.18 "Ensure convergence with NHM activities and other related programs in the state/district"
Pg.39 "Integrate existing programs with upcoming digital platform of NAPCCHH and NCDC"</t>
  </si>
  <si>
    <t>Pg.25 "Ensure convergence with NHM activities and other related programs in the state /district"
Pg.36 "Integrate and coordinate to get support from Rashtriya Bal Swasthya Karyakram and Rashtriya Kishore Swasthya Karyakram"</t>
  </si>
  <si>
    <t xml:space="preserve">Pg.16 "Ensure Convergence with NHM activities and other related programs in the State and District"
Pg.33 "Collaborate with
NVBDCP"
Pg.24 "Integrate weather parameters with VBD surveillance under NVBDC at District level"
</t>
  </si>
  <si>
    <t>Pg.20 "Ensure Convergence with NHM activities and other related programs in the state/district"</t>
  </si>
  <si>
    <t>Pg.14 "Ensure convergence with NHM activities and other related programs in the state/district"
Pg.35 "Integrate weather parameters with VBD surveillance under NVBDC at District level"
Pg.36 "The section should be revised every year after December in collaboration with NVBDCP"</t>
  </si>
  <si>
    <t>Pg.22 "Ensure convergence with NHM activities and other related programs in the state / district"
Pg.57 "Collaborate with NVBDCP"</t>
  </si>
  <si>
    <t>Page no. 18 "To develop partnerships and create synchrony/synergy with other missions and ensure that health is adequately represented in the climate change agenda in the country in
coordination with the Ministry of Health &amp; Family Welfare."</t>
  </si>
  <si>
    <t>Page no. 20 "Ensure Convergence with NHM activities and other related programs in the State and District"
Page no. 44 "Integrate weather parameters with VBD surveillance under NVBDC at the district level"
Page no. 44 "Monitor VBD with weather parameters"</t>
  </si>
  <si>
    <t>Page no. 3 "The Health Mission aims to reduce
climate-sensitive illnesses through integration with other missions under the National Action
Plan for Climate Change (NAPCC) as well as through programmes run by various ministries."
Page no .11 "Towards improving governance m mechanisms, institutional decision making and convergence, the department will, as an immediate measure, review the State Health Policy to incorporate climate change concerns to human well-being and health and to initiate response mechanisms or preparedness for response mechanisms."
Page no. 14 "To develop partnerships and create synchrony/ synergy with other missions and ensure that health is adequately  represented in the climate change agenda in the state in coordination with the Ministry of Health &amp; Family Welfare."</t>
  </si>
  <si>
    <t xml:space="preserve">Page no. 15 "To develop partnerships and create synchrony/ synergy with other missions and ensure that
health is adequately represented in the climate change agenda in the country in coordination with
the Ministry of Health &amp; Family Welfare."
</t>
  </si>
  <si>
    <t>Pg.19 "Project director, ICDS"</t>
  </si>
  <si>
    <t>Pg.20 "The members of the  Environmental Health Cell"</t>
  </si>
  <si>
    <t>Pg.26 "Executive members of EHC"</t>
  </si>
  <si>
    <t>Pg.31 "Executive members of EHC"</t>
  </si>
  <si>
    <t>Pg. 25 "Executive members of EHC"</t>
  </si>
  <si>
    <t>Pg.11.-12. State Task Force</t>
  </si>
  <si>
    <t>Pg.17 "Executive Members of EHC"</t>
  </si>
  <si>
    <t>Pg.20 "District level EHC"</t>
  </si>
  <si>
    <t>Page no. 30 "State Environmental Health Cell (EHC)</t>
  </si>
  <si>
    <t>Pg.23 "Executive Members of EHC"</t>
  </si>
  <si>
    <t>Pg.14. "State Environment Health Cell"</t>
  </si>
  <si>
    <t>Pg.20 "Executive Members of EHC"</t>
  </si>
  <si>
    <t>Pg.21  "State/UT EHC"</t>
  </si>
  <si>
    <t>Page no. 19 "Uttar Pradesh State Task Force"</t>
  </si>
  <si>
    <t xml:space="preserve">Page no. 15 "Programme officers from different NHM programmes are engaged under the State task force." </t>
  </si>
  <si>
    <t>Page no, 22 "Environmental Health Cell is hereby fromed with the following officials from various branches of this department"</t>
  </si>
  <si>
    <t>Pg.17 "State level governing body"</t>
  </si>
  <si>
    <t>Pg. 21 "Structure of district level task force"</t>
  </si>
  <si>
    <t>Pg.49 "Notification of Multisector Task Force under NPCCHH, Assam"</t>
  </si>
  <si>
    <t xml:space="preserve">Pg.29 "State Level Task Force"
Pg.4 "This document is based on inputs provided by officials and experts from the Chhattisgarh State
Departments of Health &amp; Family Welfare, Environment, Disaster Management Authority.
Active contributors include the experts from the Directorate of Health Services, Chhattisgarh,
Department, Community Medicine Department, Pt. J L N Medical College Raipur, and State
Pollution Control Board &amp; UNDP, Healthy Energy Initiative India (HEI)"
</t>
  </si>
  <si>
    <t>Pg.18 "Delhi State Governing Body"</t>
  </si>
  <si>
    <t>Pg.61 "Annexure 1: To notify the consititution of multisectoral task force"</t>
  </si>
  <si>
    <t>Pg.29 "STATE LEVEL - GOVERNING BODY - ENVIRONMENTAL HEALTH"</t>
  </si>
  <si>
    <t>State Level Task Force - Environmental Health</t>
  </si>
  <si>
    <t>Page no. 16 "State Level Task Force - Environmental Health"</t>
  </si>
  <si>
    <t>Page no. 20 "‘Multi-sectoral Task Force is here by formed with the officials from various branches of this Department as well as officials from other concerned Departments as shown in the table below "
Page no. 37 "Stakeholder Departments/Organizations"
Page no. 55 "Stakeholder Departments"
Page no. 61 "Stakeholder Departments"
Page no. 68 "Stakeholders to be engaged"
Page no. 72 "Stakeholder Departments"
Page no. 78 "Stakeholder departments"</t>
  </si>
  <si>
    <t>Pg.38 "ROLES AND RESPONSIBILITIES"</t>
  </si>
  <si>
    <t>Pg.36 "Roles and responsibilities in implementation of VBD activities in context of climate
change under NPCCNN, Assam"</t>
  </si>
  <si>
    <t>Pg.35 "Roles and responsibilities of key persons" (Health)
Pg.41 "Roles and responsibilities of key persons" (Health)
Pg.46 "Roles and responsibilities (Govt &amp;non-Govt) in implementationof climate change under NPCCHH, Bihar"
Pg.53 "Roles and responsibilies of key persons" (Health mainly)
Pg.56 ""Roles and responsibilies of key persons" (Health mainly)"</t>
  </si>
  <si>
    <t>Pg.43 "operational guidelines at the ARI surveillance identified sites" (Health)
Pg.43 "ROLES AND RESPONSIBILITIES" (Health)
Pg.51 "Roles and Responsibilities" (Health)
Pg.55 "Roles and Responsibilities"
Pg.65 "Roles and responsibility" (Health)
Pg.75 "Roles and Responsiblities"</t>
  </si>
  <si>
    <t xml:space="preserve">Page no. 42 "Roles and responsibilities of other departments"
</t>
  </si>
  <si>
    <t>Pg.25 "Roles and Responsibilities"
Pg.30 "Identification of roles and responsibilities of coordinating agencies with activity matrix
and action checklists"
Pg.30 "Roles and Responsibilities"
Pg.35 "Roles and responsibilities (Govt &amp;non- Govt)"
Pg.40 "Roles and Responsibilities"
Pg.44 "Roles and Responsibilities"</t>
  </si>
  <si>
    <t>Pg.34 "Roles and Responsiblities" (Health)
Pg.43 "Roles and Responsibilites" (Health)
Pg.47 "ROLES AND RESPONSIBILITIES"
Pg.52 "Roles and Responsibilites" (Health)
Pg.58 "Roles and Responsibilities" (Health)</t>
  </si>
  <si>
    <t>Pg.18 "Roles and Responsibilities"
Pg.25 "Roles and Responsibilities"
Pg.32 "Roles and responsibilities (Govt &amp;non- Govt) in implementation of VBD activities
in context of climate change under NPCCNN, Gujarat"</t>
  </si>
  <si>
    <t>Pg.46 "Roles and responsibilities"
Pg.57 "Roles and responsibilities"
Pg.62 "Roles and responsibilities"
Pg.70 "Roles and Responsibilities"</t>
  </si>
  <si>
    <t>Pg.27 "Roles and responsibilities"
Pg.31 "Roles and responsibilities"
Pg.48 "ROLES AND RESPONSIBILITIES"
Pg.53 "Roles and Responsibilities"</t>
  </si>
  <si>
    <t>Pg.32 "Roles and Responsibility"
Pg.42 "Roles and responsibilities"
Pg.45 "Activities undertaken by other line Departments"
Pg.50 "Coordination with other sectors for reducing Zoonotic diseases"
Pg.54 "There are several prevention/mitigation
activities which will be common for natural hazards."
Pg.56 "Roles and responsibilities (Govt. &amp; non- Govt)"
Pg.63 "Roles and Responsibilities"</t>
  </si>
  <si>
    <t>Pg.30 "Other sector’s Intervention"
Pg.36 "Identification of roles and responsibilities of coordinating agencies with activity matrix and action checklists"
Pg.42 "Roles and Responsibilities"
Pg.46 "Roles and responsibilities (Govt &amp;non- Govt) in implementation of VBD activities in
context of climate change under NPCCHH, Karnataka"
Pg.57 "Roles and Responsibilities"
Pg.62 "Roles and Responsibilities"</t>
  </si>
  <si>
    <t>Page no. 39 "Roles and Responsibility of Task Force Members"
Page no. 40 "Role of ministries in Air pollution management"
Page no. 50 "Role of ministries in heat related illnesses management"
Page no. 58 "Coordination with other sectors for reducing Zoonotic diseases"</t>
  </si>
  <si>
    <t>Pg.32 "ROLES AND RESPONSIBILITIES"
Pg.40 "ROLES AND RESPONSIBILITY OF KEY MEMBERS"
Pg.49 "Roles and Responsibilities"
Pg.54 "Task and responsibilities of stakeholders for VBDs control"
Pg.64 "Roles and Responsibilities"
Pg.70 "ROLES AND RESPONSIBILITIES"</t>
  </si>
  <si>
    <t>Page no. 48 "ROLES AND RESPONSIBILITIES"
Page no. 78 "Role and responsibilities of different departments"
Page no. 86 "Coordination with other sectors in reducing water borne illnesses"</t>
  </si>
  <si>
    <t>Pg.38 "Roles and responsibility"
Pg.58 "Roles and Responsibilities"
Pg.70 "Roles and responsibilities (Govt &amp; non- Govt)"
Pg.80 "Role and responsibility"
Pg.87 "Role of different Ministries in control of Air Pollution"
Pg.95 "Other department’s roles and responsibilities"</t>
  </si>
  <si>
    <t>Pg.22 "Roles and Responsibility of a few Key Members of Task Force"
Pg.32"Roles and responsibilities"
Pg.37 "Roles and responsibilities"
Pg.42 "ROLES AND RESPONSIBILITIES"
Pg.48 "Roles and responsibilities"</t>
  </si>
  <si>
    <t>Pg.27 "ROLES AND RESPONSIBILITIES"
Pg.34 "ROLES AND RESPONSIBILITIES"
Pg.51 "Roles and Responsibilities"
Pg.54 "Other department’s roles and responsibilities"
Pg.60 "Roles and responsibilities"</t>
  </si>
  <si>
    <t>Pg.32 "Roles and Responsibilities"
Pg.39 "Identification of roles and responsibilities of coordinating agencies with activity
matrix and action checklists"
Pg.39 "Roles and Responsibilities"
Pg.45 "Roles and responsibilities (Govt &amp;non- Govt) in implementation of VBD
activities in context of climate change under NPCCHH, Mizoram"
Pg.51 "Roles &amp; Responsibilities"
Pg,56 "Roles and Responsibilities"</t>
  </si>
  <si>
    <t>Pg.36 "Roles &amp;  Responsibilities"
Pg.43 "Roles &amp; Responsibilities"
Pg.48 "Roles and responsibilities in implementation of VBD activities in context of climate change under NPCCHH, Nagaland"
Pg.56 "Roles &amp; Responsibilities"</t>
  </si>
  <si>
    <t>Pg.26 "Roles and responsibilities"
Pg.32 "Roles and responsibilities"
Pg.33 "Roles and responsibilities"
Pg.40 "Several
prevention/mitigation activities"</t>
  </si>
  <si>
    <t>Pg.33 "Roles and Responsibility of Key Members"
Pg. 46 "Roles and responsibilities"
Pg.51 "Task and responsibilities of stakeholders for VBDs control"
Pg.60 "Roles and responsibilities"
Pg.70 "Roles and Responsibilities"</t>
  </si>
  <si>
    <t>Pg.29 "Roles and responsibilities at various levels under NPCCHH"
Pg.37 "Roles and responsibilities at various levels under NPCCHH"
Pg.49 "Roles and responsibilities (Govt &amp;non- Govt)"
Pg.55 "Five year vision under Adaptation plan on Disaster management"</t>
  </si>
  <si>
    <t>Pg.21 "Roles and Responsibilities"
Pg.28"Identification of roles and responsibilities of coordinating agencies with activity matrix and action checklists"
Pg.29 "Roles and Responsibilities"
Pg.34 "Roles and responsibilities (Govt &amp;non- Govt) in implementation of VBD activities in context of climate change under NPCCNN, Rajasthan"
Pg.41 "Roles and responsibilities"
Pg.48 "Roles and Responsibilities"</t>
  </si>
  <si>
    <t>Pg.29 "ROLES AND RESPONSIBILITIES"
Pg.35 "Roles and Responsibilities"
Pg.41 "Roles and responsibilities"
Pg.46 "ROLES AND RESPONSIBILITIES"
Pg.53 "roles and responsibilities"</t>
  </si>
  <si>
    <t xml:space="preserve">Pg.21 "Roles and Responsibilities"
Pg.29 "Identification of roles and responsibilities of coordinating agencies with activity matrix and action checklists"
Pg.29 "Roles and Responsibilities"
Pg.35 "Roles and responsibilities (Govt &amp;non- Govt)"
Pg.37 "Initiatives"
Pg.45 "Roles and Responsibilities"
Pg.50 "Roles and Responsibilities of other sectors (Air Pollution)"
Pg.51 "Roles and Responsibilities of other sectors (HEAT)"
</t>
  </si>
  <si>
    <t>Pg.36 "Roles and Responsibilities"
Pg.49 "Identification of roles and responsibilities of coordinating agencies with activity
matrix and action checklists"
Pg.49 "Roles and Responsibilities"
Pg.51 "Coordinate with other agencies for response"
Pg.62 "Roles and responsibilities (Govt &amp;non- Govt)"
Pg.70 "Roles and Responsibilities"</t>
  </si>
  <si>
    <t>Page no. 21 "ROLES AND RESPONSIBILITIES OF OTHER DEPARTMENTS"</t>
  </si>
  <si>
    <t>Page no. 44 "Roles and responsibilities (Govt and Non- Govt) in implementation of VBD activities in
the context of climate change under NPCCHH, Uttar Pradesh"</t>
  </si>
  <si>
    <t>Page no. 68 "Other department’s roles and responsibilities during Heat Wave"</t>
  </si>
  <si>
    <t xml:space="preserve">Page no. 31 "Role of other Departments and Agencies"
Page no. 46 "General administration and ULBs are requested for the following"
Page no. 50 "Roles of stakeholders:"
Page no. 89 "Plan for Intersectoral Coordination"
</t>
  </si>
  <si>
    <t xml:space="preserve">Pg.28 "Liaison with State Pollution Control Board for AQI alerts and
its dissemination"
Pg.28 "Liaison with the Department of Environment for combined
IEC campaigns and information sharing on health indicators
for targeted air pollution reduction activities"
Pg.28 "Awareness and action plan input sharing with the local bodies of cities with high AQI"
Pg.28 "Organize sensitization workshops for other stakeholders and line departments"
Pg.28 "Collaborate with academic institute/s for support in updating
SAPCCHH"
Pg.28 "Organize training of vulnerable groups: police officers, outdoor works, women, children"
Pg.28 "Submit analysed monthly report to SNO, NPCCHH Headquarter and other departments for necessary action"
Pg.33 "Liaison with IMD for weather alerts and its dissemination"
Pg.33 "Liaison with other departments for combined IEC campaigns, coordinated
response and information sharing of health indicators for targeted action"
Pg.34 "Organize sensitization workshops for other stakeholders and line departments"
Pg.34 "Submit analyzed weekly report to SNO, NPCCHH, Hq and other departments for necessary action"
Pg.34 "Coordinate with other agencies for response"
Pg.42 "Formalize intersectoral coordination for disaster planning, management and
response with SDMA/IMD and other response departments"
</t>
  </si>
  <si>
    <t>Pg.30 "Liaison with State Pollution Control Board for AQI alerts and
its dissemination"
Pg.30 "Liaison with the Department of Environment for combined
IEC campaigns and information sharing on health indicators
for targeted air pollution reduction activities"
Pg.30 "Awareness and action plan input sharing with the local bodies of cities with high AQI"
Pg.30 "Organize sensitization workshops for other stakeholders and line departments"
Pg.30 "Collaborate with academic institute/s for support in updating
SAPCCHH"
Pg.35 "Ensure inter-sectoral convergence and coordination for improving the architecture, design, energy- efficient cooling and heating facility, increase in plantation i.e. Climate Resilient Green Building Design.
Pg.35 "Coordination with meteorological department for analysing
cases and death data with meteorological variables like
maximum temperature and relative humidity"
Pg.40 "Coordination with other sectors for reducing Zoonotic diseases"
Pg.41 "Collaborate with NVBDCP"
Pg.41 "To be planned with hotspot municipalities and district"
Pg.48 "Formalize intersectoral coordination for disaster planning,
management and response with SDMA/IMD and other response
departments"
Pg.46 "To be planned with Municipalities"
Pg. 47 "Disaster response in coordination with state/district disaster management authority"
Pg.48 "Organize sensitization workshops for other stakeholders and line departments"
Pg.49 "Liaison with other departments for combined IEC campaigns, coordinated response and information sharing of health indicators for targeted action"
Pg.49 "Organize PRI sensitization workshop and training for vulnerable groups"
Pg.55 "Identify relevant state level nodal agencies and collaborate with them for assessment of health facilities for implementation of
measures"
Pg.55 "Coordinate with other agencies for assessment and implementation of identified structural and functional measures"</t>
  </si>
  <si>
    <t>Same as Andhra document</t>
  </si>
  <si>
    <r>
      <rPr>
        <rFont val="Arial"/>
        <color theme="1"/>
        <sz val="11.0"/>
      </rPr>
      <t xml:space="preserve">Pg.29 "Co-ordinate with Directorate of Medical Education to  collect and compile data of patients with respect to climate change including Air Pollution"
Pg.35 "To organize meetings with Bihar State Pollution Control Board and other relevant stakeholders (Department of Environment, Municipal Corporation etc)"
Pg.35 "To organize meetings with the relevant stakeholders to generate awareness on impact of air pollution on human health"
Pg.41 "To organize meetings with Bihar State Environment Cell and other relevant stakeholders (Department of Environment, Municipal Corporation etc)"
</t>
    </r>
    <r>
      <rPr>
        <rFont val="Arial"/>
        <color rgb="FFFF0000"/>
        <sz val="11.0"/>
      </rPr>
      <t xml:space="preserve">
Pg.41 "To organize meetings with the relevant stakeholders to generate awareness on impact of air pollution on human health" (Errata)
</t>
    </r>
    <r>
      <rPr>
        <rFont val="Arial"/>
        <color theme="1"/>
        <sz val="11.0"/>
      </rPr>
      <t xml:space="preserve">Pg.46 "Sensitization workshops to increase awareness on climate change and its impact on VBD"
Pg.52 "SNO-CC and the Task Force should explore collaborative mechanism (e.g. memoranda of understanding) for regular sharing data and for coordinating efforts to manage health risks"
Pg.53 "Explore collaborative mechanism (e.g. memorandum of understanding) for regular sharing data and for coordinating efforts to manage health risks"
Pg.53 "To organize meetings with the relevant stakeholders to generate awareness on EWE and their impacts" </t>
    </r>
  </si>
  <si>
    <t>Pg.44 "Liaison with State Pollution Control Board for AQI alerts and its
 dissemination"
Pg.44 "Liaison with Department of Environment for combined IEC campaigns and
information sharing on health indicators for targeted air pollution reduction
activities"
Pg.44  "Awareness and action plan input sharing with the local bodies of cities with
high AQI"
Pg.44 "Collaborate with academic institute/s for support in updating SAPCCHH"
Pg.51 "Liaison with IMD for weather alerts and its dissemination"
Pg.51 "Liaison with other departments for combined IEC campaigns, coordinated
response and information sharing of health indicators for targeted action"
Pg.52 "Organize sensitization workshops for other stakeholders and line
departments"
Pg.52 "Collaborate with academic institute/s for support in updating SAPCCHH,
Surveillance activity monitoring, training of health care professionals,
vulnerability assessment and applied research"
Pg.52 "Liaison with IMD to receive daily observed temperature and relative
humidity information"
Pg.52 "Liaison with other departments for combined IEC campaigns, coordinated
response and information sharing of health indicators for targeted action"
Pg.52 "Coordinated with other agencies for response"
Pg.65 "Identify relevant state level nodal agencies and collaborate with them for assessment
of health facilities for implementation of measures"
Pg.65 "Coordinate with other agencies for assessment and implementation of identified
structural and functional measures"
Pg.65 "Coordinate with other agencies for assessment and implementation of identified
structural and functional measures"</t>
  </si>
  <si>
    <t>Page no. 35 "To coordinate with the UT-level task force meetings to develop a HAP on air pollution and health as part of the State Action Plan on Climate Change and Human Health (SAPCCHH)"
Page no. 36 "Identification and capacity building of human resources like Nodal officer-ARI surveillance, Medical Officers, Communities health officers, health care workers, and other departments like PRI, WCD, etc.
Page no. 41 "Ensure inter-sectoral convergence and coordination for improving the architecture, design, energy-efficient cooling, and heating facility, and
increase in plantation i.e. Climate Resilient Green Building Design."
Page no. 41 "Coordination with the meteorological department for analyzing cases and death data with meteorological variables like maximum temperature
and relative humidity"
Page no. 49 "Coordinate with other National health programmes like IDSP &amp; NCVBDC for surveillance activities."
Page no. 49 "Coordinate with multisectoral task force members in developing the State Action plan for vector-borne diseases."
Page no. 56 "Coordinate with all relevant departments/sectors in developing capacity for climate-resilient health systems."
Page no. 64 "Formalize intersectoral coordination for disaster planning, management, and response with SDMA/IMD and other response departments"</t>
  </si>
  <si>
    <t>Pg.25 "Liaison with State Pollution Control Board for AQI alerts and its dissemination"
Pg.25 "Liaison with Department of Environment for combined IEC campaigns and information
sharing on health indicators for targeted air pollution reduction activities"
Pg.25 "Collaborate with academic institute/s"
Pg.27 "To be planned with Municipalities of Delhi"
Pg.30 "Daily dissemination of forecast and observed temperature during summer to public and
government agencies(IMD)"
Pg.30 "Liaison with IMD for weather alerts and its dissemination"
Pg.30 "Liaison with other departments for combined IEC campaigns, coordinated response and
information sharing of health indicators for targeted action"
Pg.31 "Organize sensitization workshops for other stakeholders and line departments"
Pg.31 "Collaborate with academic institute/s"
Pg.31 "Coordinate with other agencies for response"
Pg.44 "Coordinate with other agencies for assessment and implementation of
identified structural and functional measures"
Pg.70 "Formalize intersectoral coordination for disaster planning,
management, and response with SDMA/IMD and other departments."</t>
  </si>
  <si>
    <t>Pg.35  "Liaison with State Pollution Control Board for AQI alerts and its dissemination"
Pg.35 "Liaison with the Department of Environment for combined IEC campaigns and information sharing on health indicators for targeted air pollution reduction activities"
Pg.35 "Awareness and action plan input sharing with the local bodies of cities with high AQI"
Pg.35 "Collaborate with academic institute/s for support in updating SAPCCHH"
Pg.43 "Liaison with IMD for weather alerts and their dissemination"
Pg.43 "Liaison with other departments for combined IEC campaigns, coordinated response and information sharing of health indicators for targeted action"
Pg.44 "Organize sensitization workshops for other stakeholders and line departments"
Pg.44 "Collaborate with academic institute/s for support in updating SAPCCHH,"
Pg.44 "Liaison with IMD to receive daily observed temperature and relative humidity information"
Pg.44 "Liaison with other departments for combined IEC campaigns, coordinated response and information sharing of health indicators for targeted action"
Pg.44 "Coordinate with other agencies for response"
Pg.52 "Formalize inter-sectoral coordination for disaster planning, management and response with SDMA/IMD and other response departments"
Pg.52 "Liaison with other departments for combined IEC campaigns, coordinated response and information sharing of health indicators for targeted action"
Pg.58 "Identify relevant state level nodal agencies and collaborate with them for assessment of health facilities for implementation of measures"
Pg.58 "Coordinate with other agencies for assessment and implementation of identified
structural and functional measures"</t>
  </si>
  <si>
    <t>Pg.14 "To be planned with Ahmedabad, Vadodara and Surat Municipalities"
Pg.18 "Evaluate and update relevant section of SAPCCHH with support from State Task Force"
Pg. 18 "Liaison with State Pollution Control Board for AQI alerts and its dissemination"
Pg.18 "Liaison with Department of Environment for combined IEC campaigns and information sharing on health indicators for targeted air pollution reduction activities"
Pg.18 "Awareness and action plan input sharing with Ahmedabad Municipal corporation, Vadodara Municipal corporation and Surat Municipal corporation"
Pg.18 "Organize sensitization workshops for other stakeholders and line departments"
Pg.18 "Collaborate with academic institute/s for support in updating SAPCCHH, Surveillance activity monitoring, vulnerability assessment and applied research" 
Pg.21 "To be planned with Ahmedabad, Vadodara and Surat Municipalities"
Pg.25 "Liaison with other departments for combined IEC campaigns, coordinated response and information sharing of health indicators for targeted action"
Pg.25 "Organize sensitization workshops for other stakeholders and line departments"
Pg.26 "Collaborate with academic institute/s for support in updating SAPCCHH, Surveillance activity monitoring, training of health care professionals, vulnerability assessment and applied research"
Pg.26 "Liaison with IMD to get daily observed temperature and relative humidity infomation"
Pg.26 "Liaison with other departments for combined IEC campaigns, coordinated response and information sharing of health indicators for targeted action"
Pg.26 "Coordinate with other agencies for response"
Pg.32 "Roles and responsibilities (Govt &amp;non- Govt) in implementation of VBD activities
in context of climate change under NPCCNN, Gujarat"
Pg.38 "The section should be revised every year after December with support from coordinating agencies"
Pg.39 "Formalize intersectoral coordination for disaster planning, management and response with SDMA/IMD and other response departments"
Pg.39 "Collaborate with academic institute/s for support in updating SAPCCHH,"
Pg.39 "Liaison with other departments for combined IEC campaigns, coordinated
response and information sharing of health indicators for targeted action"</t>
  </si>
  <si>
    <t>Pg.31 "Coordinate with other agencies for the assessment"
Pg.45 "Inter-departmental Coordination"
Pg.57 "Coordination with IMD to develop EWS"
Pg.57 "Coordinate with multisectoral task force members"
Pg.62 "Inter-sectoral collaboration for early warning and vector control"</t>
  </si>
  <si>
    <t>Pg.41 "Liaison with IMD for weather alerts and its dissemination"
Pg.41 "Liaison with other departments for combined IEC campaigns, coordinated
response and information sharing of health indicators for targeted action"
Pg.41 "Organize sensitization workshops for other stakeholders and line
departments"
Pg.41 "Collaborate with academic institute/s for support in updating SAPCCHH,
Surveillance activity monitoring, training of health care professionals,
vulnerability assessment, and applied research"
Pg.42 "Liaison with IMD to receive daily observed temperature and relative
humidity information"
Pg.42 "Liaison with other departments for combined IEC campaigns, coordinated
response and information sharing of health indicators for targeted action"
Pg.42 "• Conduct sensitization of vulnerable groups: police officers, outdoor
workers, women, children etc."
Pg.42 "Coordinate with other agencies for response"
Pg.45 "Coordination with other sectors for reducing Zoonotic diseases"
Pg.54 "Collaborate with academic institute/s for support in updating SAPCCHH,
surveillance activity monitoring, training of health care professionals"
Pg.54 "Liaison with other departments for combined IEC campaigns, coordinated
response and information sharing of health indicators for targeted action"
Pg.54 "Conduct sensitization of vulnerable groups, police officers, outdoor
workers, women, children, etc."</t>
  </si>
  <si>
    <t>Pg.33 "Liaison with State Pollution Control Board for AQI alerts and its
dissemination"
Pg.33 "Liaison with Department of Environment for combined IEC campaigns"
Pg.33 "Organize sensitization workshops for other  stakeholders and line departments"
Pg.42 "Ensure Inter-sectoral convergence and coordination"
Pg.43 "Coordination with meteorological department
for analysing cases and death data"
Pg.45 "Inter Sectoral Coordination"</t>
  </si>
  <si>
    <t>Same as other plans</t>
  </si>
  <si>
    <t>Page no. 39 "Co-ordinate with the Directorate of Medical Education"
Page no. 50 "Coordination with the health department for analyzing cases
and death data with meteorological variables like maximum temperature and relative humidity"
Page no. 76 "Explore collaborative mechanisms (e.g., memoranda of understanding) with other
departments, stakeholders, suchas meteorological, pollution control board, etc for
sharing data and for coordinating effortsto manage health risks."
Page no. 76 "Ensure Inter-sectoral convergence and coordination for improving architecture, design, energy-efficient cooling and heating system at the healthfacility, increase in plantation i.e. Climate Resilient Green Building Design."
Page no. 76 "Formalize intersectoral coordination for disaster planning, management and response
with SDMA/IMD and other response departments"
Page no. 76 "Liaison with other departments for combined IEC campaigns, coordinated response and information sharing of health indicators for targeted action"</t>
  </si>
  <si>
    <t>Pg.40 "To assist research on air pollution impact
on health initiated by central/state govt.
ministry, ICMR, or any other agencies"
Pg.40 "Coordinate with the Directorate of Medical
Education"
Pg.43 "Integrate and coordinate to get support from RashtriyaBalSwasthyaKaryakram and Rashtriya Kishore SwasthyaKaryakram"
Pg.49 "Liaison with other departments for combined IEC campaigns, coordinated response, and information sharing of health indicators for targeted action"
Pg.50 "Organize sensitization workshops for other stakeholders and line departments"
Pg.50 "Collaborate with academic institute/s"
Pg.50 "Liaison with IMD to receive daily observed temperature and relative humidity information"
Pg.50 "Coordinate with other agencies"
Pg.55 "Through inter-departmental coordination- Health Inspector will have a periodical interaction with the local departments towards the sudden climatic change and its sequence, initiate the Health Field Staffs to deploy preventive methods on VBD."</t>
  </si>
  <si>
    <t>Page no. 36 "Liaison with State Pollution Control Board for AQI alerts and its
dissemination"
Page no. 36 "Liaison with Department of Environment for combined IEC campaigns and information sharing on health indicators for targeted air pollution reduction activities"
PAge no. 36 "Collaborate with academic institute/s for support in updating SAPCCHH"
Page no. 41 "Liaison with IMD for weather alerts and its dissemination"
Page no. 41 "Liaison with IMD for weather alerts and its dissemination"
Page no. 41 "Collaborate with academic institute/s for support"
Page no. 42 "Coordinate with other agencies for response"
Page no. 61 "Formalize intersectoral coordination for disaster planning, management, and response with SDMA/IMD and other response departments"
Page no. 61 "Liaison with other departments for combined IEC campaigns, coordinated
response and information sharing of health indicators for targeted action"
Page no. 86 "Coordinate with related stakeholders like Municipalities to keep a check and strengthen surveillance of food handling units, local vendors, water supply etc."
Page no. 86 "Explore collaborative mechanisms (e.g. memoranda of understanding) with other departments, stakeholders for sharing of data and for coordinating efforts to manage
health risks."</t>
  </si>
  <si>
    <t>Pg.22 "Coordinate with the Directorate of Medical Education to collect and compile data of patients with respect to Air"
Pg.22 "To assist research on air pollution impact on health initiated by central/state Government, Ministry, ICMR, or any other agencies."
Pg.33 "Liaison with IMD for weather alerts and its dissemination"
Pg.33 "Liaison with other departments for combined IEC campaigns, coordinated response and information sharing of health indicators for targeted action"
Pg.33 "Organize sensitization workshops for other stakeholders and line departments"
Pg.33 "Collaborate with academic institute/s for support in updating SAPCCHH,"
Pg.37 "Formalize inter-sectoral coordination for disaster planning, management, and response
with R&amp;D /IMD and other responsible departments"</t>
  </si>
  <si>
    <t>Pg.27 "Liaison with State Pollution Control Board for AQI alerts and its dissemination"
Pg.27 "Liaison with the Department of Environment for combined IEC campaigns"
Pg.27 "Organize sensitization workshops for other stakeholders"
Pg.28 "Collaborate with academic institute/s"
Pg.34 "To help the state govt. in collaboration with any research institute"
Pg.34 "ICMR-NIMR to work in close collaboration with NVBDCP"
Pg.42 "Coordinate with other agencies for the assessment and implementation
of identified structural and functional measures"
Pg.46 "Formalize intersectoral coordination"
Pg.46 "Collaborate with academic institute/s"
Pg.46 "Liaison with other departments for combined IEC campaigns"
Pg.52 "Coordination with the meteorological department for analyzing cases and deaths"
Pg.60 "Liaison with IMD for weather alerts and its dissemination"
Pg.60 "Liaison with other departments for combined IEC campaigns"
Pg.60 "Collaborate with academic institute/s"
Pg.61 "Coordinate with other agencies for response"</t>
  </si>
  <si>
    <t>Pg.32 "Liason with State Pollution Control Board for AQI alerts and its dissemination."
Pg.32 "Liason with Department of EF &amp; CC for combined IEC campaigns"
Pg.39 "Liaison with IMD for weather alerts and its dissemination"
Pg.39 "Liaison with other departments for combined IEC campaigns"
Pg.40 "Organize sensitization workshops for other stakeholders and line departments"
Pg.41 "Coordinate with other agencies for response"
Pg.51 "Formalize intersectoral coordination for disaster planning, management and
response with SDMA/IMD and other response departments"
Pg.51 "Collaborate with academic institute/s for support"
Ph.56 "Coordinate with other agencies for assessment and implementation of
identified structural and functional measures"</t>
  </si>
  <si>
    <t>Pg.26 "Liaison with State Pollution Control Board for AQI alerts and its dissemination"
Pg.26 "Liaison with the Department of Environment for combined IEC campaigns"
Pg.26 "Organize sensitization workshops for other stakeholders and line departments"
Pg.26 "Collaborate with academic institute/s"
Pg.32 "Liaison with IMD for weather alerts and its dissemination"
Pg.46 "Explore collaborative mechanisms (e.g., memoranda of understanding)
with other departments, stakeholders,"</t>
  </si>
  <si>
    <t xml:space="preserve">Pg.33 "Coordinate with the Directorate of Medical Education"
Pg.33 "To give necessary inputs to reduce air pollution as per
the causes identified"
Pg.34 "Coordinate the State level Task Force Meetings"
Pg.36 "Integrate and coordinate to get support from Rashtriya Bal Swasthya Karyakram and Rashtriya Kishore Swasthya Karyakram"
Pg.46 "Liaison with IMD for weather alerts and their dissemination"
Pg.46 "Liaison with other departments for combined IEC campaigns, coordinated response, and information sharing of health indicators
for targeted action"
Pg.47 "Collaborate with academic institute/s"
Pg.61 "Coordinate with other agencies for assessment and implementation of identified structural and functional measures"
Pg.70 "Formalize intersectoral coordination for disaster planning, management, and
response with SDMA/IMD and other departments"
Pg.70 "Collaborate with academic institute/s"
</t>
  </si>
  <si>
    <t xml:space="preserve">Pg.28 "Establish link Between Punjab
Pollution Board to send AQI alerts
in 11 NCAP districts so that health
facilities are quicker to response"
Pg.29 "Liaison with State Pollution Control Board for AQI alerts and its dissemination."
Pg.29 "Liaison with the Department of Environment for combined IEC campaigns"
Pg.29 "Awareness and action plan input sharing with Agra, Prayagraj, Amroha, Bareilly, Firozabad, G.B. Nagar, Ghaziabad, Jhansi, Kanpur Nagar,
Bulandshahr, Lucknow, Moradabad, Noida, Raebareli, Hapur and Varanasi Municipal corporation."
Pg.29 "Collaborate with academic institute/s"
Pg.37 "Liaison with IMD for weather alerts and its dissemination"
Pg.37 "Organize sensitization workshops for other stakeholders and line departments"
Pg.59 "Formalize intersectoral coordination for disaster planning, management and response with SDMA/IMD and other response departments"
Pg.59 "Collaborate with academic institute/s"
</t>
  </si>
  <si>
    <t xml:space="preserve">Pg.22 "Liaison with State Pollution Control Board for AQI alerts and its dissemination"
Pg.22 "Liaison with Department of Environment for combined IEC campaigns"
Pg.22 "Organize sensitization workshops for other stakeholders and line departments"
Pg.22 "Collaborate with academic institute/s"
Pg.29 "Liaison with IMD for weather alerts and its dissemination"
Pg.29 "Liaison with other departments for combined IEC campaigns"
Pg.29 "Organize sensitization workshops for other stakeholders and line departments"
Pg.29 "Collaborate with academic institute/s"
Pg.30 "Coordinate with other agencies for response"
Pg.34 "Roles and responsibilities (Govt &amp;non- Govt) in implementation of VBD activities in context of climate change under NPCCNN, Rajasthan"
Pg.41 "The section should be revised every year after December with support from coordinating agencies"
Pg.41 "Formalize intersectoral coordination for disaster planning, management and
response with SDMA/IMD and other response departments"
Pg.41 "Organize sensitization workshops for other stakeholders and line departments"
Pg.41 "Collaborate with academic institute/s"
Pg.41 "Liaison with other departments for combined IEC campaigns, coordinated response and information sharing of health indicators for targeted action"
</t>
  </si>
  <si>
    <t xml:space="preserve">Pg.30 "Liaison with State Pollution Control Board for AQI alerts and its dissemination"
Pg.30 "Liaison with Department of Environment for combined IEC campaigns"
Pg.30 "Organize sensitization workshops for other stakeholders and line departments"
Pg.30 "Collaborate with academic institute/s"
Pg.35 "Formalize intersectoral coordination for disaster planning, management and response with SDMA/IMD and other response departments"
Pg.35 "Organize sensitization workshops for other stakeholders and line departments"
Pg.35 "Collaborate with academic institute/s"
Pg.35 "Liaison with other departments for combined IEC campaigns"
Pg.35 "Conduct sensitization of vulnerable groups: police officers, outdoor works,
women, children etc"
Pg.41 "Liaison with IMD for weather alerts and its dissemination"
Pg.41 "Liaison with other departments for combined IEC campaigns"
Pg.41 "Collaborate with academic institute/s"
</t>
  </si>
  <si>
    <t>Pg.21 "Liaison with the State Pollution Control Board for AQI alerts and their dissemination"
Pg.21 "Liaison with the Department of Environment for combined IEC campaigns"
Pg.21 "Organize sensitization workshops for other stakeholders and the line departments"
Pg.21 "Collaborate with academic institute/s"
Pg.29 "Liaison with IMD for weather alerts and its dissemination"
Pg.29 "Liaison with other departments for combined IEC campaigns,"
Pg.29 "Organize sensitization workshops for other stakeholders and line departments"
Pg.29 "Collaborate with academic institute/s"
Pg.30 "Coordinate with other agencies for response"
Pg.40 "Formalize intersectoral coordination for disaster planning, management and response
with SDMA/IMD and other response departments"
Pg.40 "Organize sensitization workshops for other stakeholders and line departments"
Pg.41 "Liaison with other departments for combined IEC campaigns, coordinated response and information sharing of health indicators for targeted action"
Pg.45 "Coordinate with other agencies for assessment and implementation of
identified structural and functional measures"</t>
  </si>
  <si>
    <t>Pg.36 "Organize training sessions for district level and surveillance nodal officer"
Pg.36 "Evaluate and update relevant section of SAPCCHH with support from State Task Force"
Pg.36 "Liaison with the State Pollution Control Board for AQI alerts and their dissemination"
Pg.36 "Liaison with the Department of Environment for combined IEC campaigns and
information sharing on health indicators for targeted air pollution reduction activities"
Pg.37 "Collaborate with academic institute/s for support in updating SAPCCHH"
Pg.49 "Daily dissemination of forecast and observed temperature during summer to
public and government agencies (IMD)" 
Pg. 49 "Liaison with IMD for weather alerts and its dissemination"
Pg. 50 "Liaison with other departments for combined IEC campaigns, coordinated response and information sharing of health indicators for targeted action"
Pg.50 "Organize sensitization workshops for other stakeholders and line departments"
Pg.50 "Liaison with IMD to get daily observed temperature and relative humidity information"
Pg.50 "Liaison with other departments for combined IEC campaigns, coordinated response and information sharing of health indicators for targeted action"
Pg.50 "Organize seminars and conference to share knowledge and action under NPCCHH."
Pg.70 "Formalize intersectoral coordination for disaster planning, management, and response with
SDMA/IMD and other response departments"
Pg.70 "Organize sensitization workshops for other stakeholders and line departments"
Pg.71 "Collaborate with academic institute/s"
Pg.72 "Liaison with other departments for combined IEC campaigns, coordinated response and
information sharing of health indicators for targeted action"</t>
  </si>
  <si>
    <t>Page no. 30 "To coordinate with the state level task force meetings to develop a HAP on air pollution and health as part of the State Action Plan on Climate Change and Human Health (SAPCCHH)"
Page no. 31 "Integrate and coordinate to get support from other National /State level programmes."
Page no. 42 "Coordinate with multisectoral task force members in developing State Action plan for Vector borne diseases."
Page no. 42 "Coordinate with other National health programmes at district level like IDSP &amp; NVBDCP for surveillance activities."
Page no. 46 "Multi-sectoral collaboration action (Involvement of civil societies, NGOs, SHGs): public private partnership model"
Page no. 48 "Formalize intersectoral coordination for disaster planning, management, and response with SDMA/IMD and other response departments"
Page no. 56 "The District level Climate Change and Human Health Cell will identify and coordinate with all the relevant departments/sectors at the district level in developing capacity for climate resilient health system."</t>
  </si>
  <si>
    <t>Page no. 27 "Liaison with State Pollution Control Board for AQI alerts and its dissemination."
Page no. 27 "Liaison with the Department of Environment for combined IEC campaigns and information sharing on health indicators for targeted air pollution reduction activities.
Page no. 28 "Awareness and action plan input sharing with Agra, Prayagraj, Amroha, Bareilly, Firozabad, G.B. Nagar, Ghaziabad, Jhansi, Kanpur Nagar, Bulandshahr, Lucknow, Moradabad, Noida, Raebareli, Hapur and Varanasi Municipal corporation."
Page no. 28 "Collaborate with academic institute/s for support in updating SAPCCHH, Surveillance activity monitoring, vulnerability assessment, and applied research"
Page no. 35 "Liaison with IMD for weather alerts and its dissemination"
Page no. 35 "Liaison with other departments for combined IEC campaigns, coordinated response and information sharing of health indicators for targeted
action"
Page no. 36 "Collaborate with academic institute/s for support in updating SAPCCHH, Surveillance activity monitoring, training of health care professionals, vulnerability assessment, and applied research"
Page no. 36 "Coordinate with other agencies for response"
Page no. 45 "The section should be revised every year after December in collaboration with NVBDCP"
Page no. 52 "Formalize intersectoral coordination for disaster planning, management, and
response with SDMA/IMD and other response departments"
Page no. 52 "Collaborate with academic institute/s for support in updating SAPCCHH, Surveillance activity monitoring, training"
Page no. 52 "Liaison with other departments for combined IEC campaigns, coordinated
response and information sharing of health indicators for targeted action"</t>
  </si>
  <si>
    <t>Page no. 41 "Inter-departmental coordination"
Page no. 49 "Inter-departmental coordination"
Page no. 49 "Coordinate with multisectoral task force members in developing State Action plan for
Heat-related illnesses"
Page no. 54 "Coordinate with other National health programmes at district level like IDSP &amp; NVBDCP for surveillance activities."
Page no. 59 "Formalize intersectoral coordination for disaster planning, management, and response with SDMA/IMD and other response departments"</t>
  </si>
  <si>
    <t xml:space="preserve">Page no. 29 "Household air pollution: integration with GOI Project to supply cooking gas to BPL
families at a subsidized rate."
Page no. 30 "Policy in place to promote multiple uses of crop residues and prevent their on-farm burning"
Page no. 30 "Exploring feasible options for RSBY to include OPD services for respiratory diseases, COPD, NCDs, etc."
Page no. 30 "Sharing of data on Air Quality from time to time."
Page no. 38 "Conduct of awareness generation programmes in High Schools involving the RBSK &amp; School Health HR for the roll-out of this initiative."
Page no. 38 "Evaluate and update relevant sections of SAPCCHH with support from the State Task Force"
Page no. 38 "Liaison with State Pollution Control Board for AQI alerts and its dissemination"
Page no. 38 "Liaison with the Department of Environment for combined IEC campaigns and information sharing on health indicators for targeted air pollution reduction activities"
Page no. 39 "Collaborate with academic institute/s for support in updating SAPCCHH"
Page no. 51 "Establishing and identify roles and responsibilities of operational district level bodies relevant to climate change and their constitution, such as Distt. Disaster Management Authority, Disease Surveillance Programmes, Distt. Health Information System, district unit of Departments of Meteorology, Pollution Control Board, Water and Sanitation, Public Works Departments and civil societies etc."
Page no.51 "Involvement of Private agencies by PPP model or NGOs/NPOs."
Page no. 51 "Time to time research and analysis in ollaboration with Dept of Meteorology, IT sector and state epidemiology cell for observational and operational studies."
Page no. 52 "Urban Development Corporation, ULB, and all the Development authorities including HIDCO to be involved in environment/climate-friendly planning of city
and town ship"
Page no. 53 "Exchange of heat wave alerts from Meteorology Dept. and percolation to District &amp; Block levels."
Page no.56 "Liaison with IMD for weather alerts and its dissemination"
Page no. 56 "Liaison with other departments for combined IEC campaigns, coordinated response and information sharing of health indicators for targeted action"
Page no. 56 "Organize sensitization workshops for other stakeholders and line departments"
Page no. 58 "Coordinate with other agencies for response"
Page no. 74 "Every year a State Level Inter-Departmental Convergence Meeting is taken by the Chief Secretary before the monsoon sets in. Prior to that, usually in
the month of May, Health organizes its annual review meeting on flood/cyclone preparedness wherein all the District CMOHs and the heads of the concerned branches are invited."
Page no. 76 "Health Dept. receives updates from the Dept. of Disaster Management in case there is any forecast for a major natural calamity like a cyclone or very
heavy shower. At the district level, an exchange of  information goes on between the General Admin. and Health for alerts and updates on the unfolding of events. At the sub-District level, the Block Medical Officers are advised to keep in touch with the Block Development
Officer so that the places where health care has to be rendered can be identified and necessary transport support (in the unusual situation) can be obtained."
Page no. 76 "Close liaison is to be established and maintained with Meteorology Department to receive
real-time warning dissemination for environmental and climatic situations in different parameters so that the adaptation and mitigation plan can be taken in advance to prevent the health-related impact. At the district level, an exchange of information has to take place from time to time between the General Administration and Health for alerts and updates on unfolding of events. At the sub-District level, the Block Medical Officers are advised to keep in close touch with the Block Development Officer at the time of any natural calamity."
Page no. 79 "Formalize intersectoral coordination for disaster planning, management, and response with SDMA/IMD and other response departments"
Page no. 80 "Collaborate with academic institute/s for support in updating SAPCCHH, Surveillance activity monitoring, training of health care professionals, vulnerability assessment, and applied research"
Page no. 89 "Plan for Intersectoral Coordination"
</t>
  </si>
  <si>
    <t>Page no. 16 "There are several important institutions in the ...... Kerala Forest Research Institute, National Transportation Planning and Research Centre are some of the
institute especially equipped for the relevant work."</t>
  </si>
  <si>
    <t>Page no. 68 "Stakeholders to be engaged"</t>
  </si>
  <si>
    <t xml:space="preserve">Pg.9 "District-level vulnerability assessment"
Pg.9 "Drivers of vulnerability in the districts of Andhra Pradesh"
Pg.40 "High, moderate and low endemicity districts have been identified in the state with respect to historical data of dengue cases."
</t>
  </si>
  <si>
    <t xml:space="preserve">Pg.44 "State Vulnerability to extreme events"
Pg.44 "Seasonality of Hazards in Arunachal Pradesh"
</t>
  </si>
  <si>
    <t>Pg.4 "Assam is one of the most climatically vulnerable states among all the 12 Indian Himalayan region states with the vulnerability index being 0.72 according to climate vulnerability assessment for the Indian Himalayan Region"
Pg.5 ": Climate vulnerability ranking of districts based on its socio-demographic, biophysical, and
institutional-infrastructural aspects, Assam 2021"
Pg.15 "Seventeen worst flood affected districts are shown in a vulnerability assessment-based hazard map"
Pg.18 "Ranking of Districts based on exposure, sensitivity and adaptive capacity to flood,
drought &amp; cyclone, Assam"</t>
  </si>
  <si>
    <t>Pg.14 "Vulnerability to Heatwaves"
Pg.17 "6: Earthquake prone areas of Bihar"
Pg.18 "Drought Prone Areas of Bihar"
Pg.19 "High Speed Wind/Gale /Hail Storm Prone Areas"
Pg.19 "Flood prone areas"
Pg.20 "District Wise Climate Vulnerability Index:"</t>
  </si>
  <si>
    <t>Pg.11 "Vulnerability of Indian agriculture to climate change"
Pg.20 "Flood vulnerability zones of Chhattisgarh"
Pg.25 "Lightning vulnerability zones of Chhattisgarh"
Pg.72-74 "Seasonality of Hazards and district-wise hazard analysis"</t>
  </si>
  <si>
    <t xml:space="preserve">Disaster Risk Assessment in the UT </t>
  </si>
  <si>
    <t>Pg.3 "Capacity building for vulnerability assessment at various levels and liaison with center"
Pg.8 "Climate vulnerability ranking of districts"
Pg.10 "Ranking of heat vulnerable districts"</t>
  </si>
  <si>
    <t>Pg.16 "The flood vulnerability analysis of the state reveals that 14.73% of the land is under
15-meter elevation, much of it is in the coastal zone and is severely vulnerable to
flooding both from extreme rainfall events and sea-level rise. This includes the
mangrove ecosystems which are of immense ecological and socio-economic
significance and are most vulnerable to rising sea levels. Three talukas including
Salcete, Tiswadi, and Bardez are found to be the most vulnerable."
Pg.36 "Extreme heat - Hazard level: High"</t>
  </si>
  <si>
    <t>Pg.2 "Figure 1: Climate vulnerability ranking of districts based on its socio-demographic, biophysical, and
institutional-infrastructural aspects, Gujarat, 2021"
Pg.4 "Ranking of heat vulnerable districts, Gujarat, 2017"
Pg. 6 "Figure 4: Flood hazard risk zones, Gujarat (GSDMA)"
Pg.7 "Figure 4: Drought hazard risk zones, Gujarat (GSDMA)"
Pg.7 "Cyclone and Storm Surge hazard risk zones, Gujarat"
Pg.34 "Ranking of Districts based on exposure, sensitivity and adaptive capacity to flood,
drought &amp; cyclone"</t>
  </si>
  <si>
    <t>Pg.66 "Surveillance
Research, Review,
Evaluation (SRRE)"</t>
  </si>
  <si>
    <t>Pg.7 "Karnataka ranks fourth among the most climate vulnerable states according to the climate vulnerability index
prepared by Council for Energy Environment and Water (CEEW)1"</t>
  </si>
  <si>
    <t>Page no. 14 "Health and vulnerability assessment was conducted for the state of Kerala and published in
2017"
Page no. 69 "Flood susceptibility map of Kerala"
Page no. 70 "Landslide susceptibility map"
Page no. 71 "Coastal taluk susceptibility map of Kerala"
Page no. 72 "Drought susceptibility map of Kerala"
Page no. 73 "Lightning susceptibility map of Kerala"</t>
  </si>
  <si>
    <t>Pg.20 "COASTAL ZONE VULNERABILITY"
Pg.20 "SHORE LINE CHANGES"
Pg.21 "FLOOD PRONE AREAS OF LAKSHADWEEP ISLANDS"</t>
  </si>
  <si>
    <t>Page no. 12 "Drought hazard districts and intensity in the state of Madhya Pradesh"
Page no. 13 "Earthquake hazard districts and intensity in the state of Madhya Pradesh."
Page no. 58 "the state of Madhya Pradesh
has a very high number of districts with moderate vulnerability to extreme weather events"</t>
  </si>
  <si>
    <t>Pg.8 "Vulnerability
Index"
Pg.16 "Short fall of health infrastructure in Maharashtra"
Pg.16 "Draught Prone areas in Maharashtra"
Pg.16 "Flood prone areas in Maharashtra"</t>
  </si>
  <si>
    <t>Pg.5 "Vulnerability assessment in rural communities:"</t>
  </si>
  <si>
    <t>Pg.43 "Multi-
Hazard Risk Vulnerability Assessment Study (MHRVA)"</t>
  </si>
  <si>
    <t>Pg.13 "Vulnerability Profile"
Pg.13 "Mizoram is having highest vulnerability with score of 0.71 following Assam, among 12 Indian Himalayan States."
Pg.14 "District -level vulnerability ranking based on integrated vulnerability assessments,
Mizoram"
Pg.16 "Districts-level heat vulnerability, Mizoram"
Pg.19 "Vulnerability Assessment based on prevalent vector borne diseases under Climatic
Conditions in Mizoram,2021"
Pg.21 "Vulnerability profile and ranking of Districts of Mizoram."
Pg.22 "Landslide hazard area in Mizoram"
Pg.23 "Wind and cyclone hazard map, Mizoram"
Pg.23 "Flood hazard map, Mizoram"</t>
  </si>
  <si>
    <t>Pg.9 "Climate vulnerability ranking of districts based on its socio-demographic, biophysical, and institutional-infrastructural aspects, Nagaland 2019-2020"
Pg.10 "Map Showing agricultural vulnerable categories of Nagaland at district Level"
Pg.10 "Spatial spread of risk and vulnerability in Nagaland, 2017"
Pg.10 "Spatial change in risk and vulnerability in Nagaland, 2017"
Pg.18 "Ranking of heat vulnerable districts of Nagaland"</t>
  </si>
  <si>
    <t>Pg.8 "District wise Wind and Cyclone map of Odisha"
Pg.57 "Vulnerability assessment"</t>
  </si>
  <si>
    <t>Pg.12 "A health vulnerability assessment for climate change was conducted for Puducherry UT, aimed to develop a composite health vulnerability index for climate change in Puducherry and to compare
the existing differences between the districts."
Pg.12 "The district-level analysis showed Karaikal (0.53) and Yanam (0.44) to be the most vulnerable districts considering overall vulnerability index."</t>
  </si>
  <si>
    <t>Pg.9 "Vulnerability profile"
Pg.9 "List of indicators used for the assessment of district-level vulnerability for Punjab"
Pg.9 "List of district-level vulnerability Index for Punjab"
Pg.32 "Heat Vulnerability in Punjab"</t>
  </si>
  <si>
    <t>Pg.5 "Vulnerability Index"
Pg,5 "Rajasthan is one of the moderately vulnerable states to climate change impacts in India based on its socio-demographic, biophysical, and institutional-infrastructural aspects"
Pg.11 "Flood hazard risk zones, Rajasthan"
Pg.11 "Drought hazard risk zones, Rajasthan"
Pg.12 "Cyclone and Storm Surge hazard risk zones, Rajasthan"
Pg.36 "Climate induced hazard profiles for tranche-II project road districts of Rajasthan"</t>
  </si>
  <si>
    <t>Pg.6 "CLIMATE VULNERABILITY"
Pg.7 "Vulnerability assessment of rural communities"
Pg.32 "Multi Hazard Risk Vulnerability Assessment Study (MHRVA),"</t>
  </si>
  <si>
    <t>Pg.5 "Drought vulnerability"
Pg.5 "Coastal Vulnerability"
Pg.5 "Flood vulnerability"
Pg.5 "Heat Wave vulnerability"
Pg.5 "Vector and Zoonotic Disease vulnerability"
Pg.7 "Air Pollution Vulnerability"</t>
  </si>
  <si>
    <t>Pg.9 "List of Hotspot Districts and their Vulnerability Indices in Telangana (As per CEEW study on Climate Change")
Pg.65 "List of Hotspot Districts and their Vulnerability Indeces in Telangana(As per CEEW study on Climate Change)"</t>
  </si>
  <si>
    <t>Page no. 10 "CLIMATE VULNERABILITY"</t>
  </si>
  <si>
    <t>Page no. 30 "Ranking of heat-vulnerable districts, Uttar Pradesh"
Page no. 46 "Calculated values of exposure, sensitivity, adaptive capacity, composite
vulnerability and normalized vulnerability for all the study districts in Uttar Pradesh"</t>
  </si>
  <si>
    <t>Page no. 9 "Landslide hazard zonation"
Page no. 9 "Earthquake zonation"</t>
  </si>
  <si>
    <t>Page no. 5 "Vulnerability of West Bengal"
Page no. 7 "Temperature"
Page no. 9 "Rainfall"
Page no. 11 "Cyclones"
Page no. 14 "Droughts"
Page no. 62 "Vulnerability"
Page no. 74 "Vulnerability"</t>
  </si>
  <si>
    <t>Pg.11 "Around 29,000 deaths in the  state due to COPD out of 8.48 lakh deaths across India in 2016. Similarly around 6,000 deaths in Andhra were reported due to Asthma in 2016 of the 1.83 lakh asthma death in the country."
Pg.11 "Sun stroke cases and Deaths were reported decreasingly over last two years in Andhra Pradesh. The district wise data for 2019 is shown below"
Pg.13 "Vector borne diseases"
Pg.31 "For Andhra Pradesh, the reported heat wave incidences are presented in the table below"
Pg.37 "In 2021, there were approximately 3.3 thousand cases of dengue across Andhra Pradesh. This was a significant increase compared to the previous year when over 900 cases were reported in the state."</t>
  </si>
  <si>
    <t>Pg.29 "Status of ARI Surveillance data collection at states"
Pg.32 "Climactic conditions (long term averages)"
Pg.37 "Recorded Malaria cases in the past 5 years"
Pg.38 "Recorded Dengue, Japanese Encephalitis and Chikungunya cases in the past 5 years"
Pg.45 "Loss of lives due to landslide/ Flashflood/Flood"</t>
  </si>
  <si>
    <r>
      <rPr>
        <rFont val="Arial"/>
        <color theme="1"/>
        <sz val="11.0"/>
      </rPr>
      <t xml:space="preserve">Pg.4 "The annual mean temperature in
the state has increased by 0.59°C over the last 60 years (1951 to 2010), and is likely to increase by 1.7-2.2°C by 2050."
Pg.4 "Climate projections predict that extreme rainfall events will increase by 38%" 
Pg. 4 "While previously unheard of heatstrokes may become common place in Assam as summer temperatures begin to reach 40°C."
Pg.6 "Air Pollutant levels in Major Cities, Assam, 2016-2019"
Pg.7 "The analysis indicates that the mean temperature in the State has increased
by +0.01°C/year. There is also an increase in seasonal temperatures across seasons with pronounced warming in post monsoon and winter temperatures"
Pg.8 "Ranking of heat vulnerable districts of Assam, 2017"
</t>
    </r>
    <r>
      <rPr>
        <rFont val="Arial"/>
        <i/>
        <color theme="1"/>
        <sz val="11.0"/>
      </rPr>
      <t xml:space="preserve">Pg.9  Trends of VBD incidences and deaths
</t>
    </r>
    <r>
      <rPr>
        <rFont val="Arial"/>
        <color theme="1"/>
        <sz val="11.0"/>
      </rPr>
      <t>Pg.15 "Number of deaths due to extreme weather events, as per Statement on Climate of India During 2022 by IMD, MoES"</t>
    </r>
  </si>
  <si>
    <t>Pg.10 "AQI: Comparison across three districts in Bihar between 2017 and 2022"
Pg.12/ "ARI burden in Bihar"
Pg.16 "Table showing Laboratory confirmed cases of key vector borne disease over the years (2009-2019) as per annual, monthly and weekly reports of IDSP, Bihar"
Pg.18 "Although, the average rainfall in Bihar is 1120 mm, but considerable variations occur with 2000 mm in the extreme eastern and northern part and less than 1000mm in the western and south-western part of the state. As a result 33% of the State receives less than 750 mm rainfall, making the southern part of Bihar vulnerable to drought."
Pg.36 "According to the NCDC, Bihar is considered to be one of the 23 health vulnerable states in India since 2019"
Pg.42 "Annual change rate"
Pg.54 "Bihar ended up as the bottom six performers in NITI Aayog’s first State Energy and Climate Index (SECI) for performance in various dimensions of energy efficiency and climate resilience."</t>
  </si>
  <si>
    <t>Pg.16 "According to news reports high temperatures in some of the cities in May 2019 were:"
Pg.17 "Heat Stroke statistics of Chhattisgarh from 2016 to 2019"
Pg.19 "Dengue cases have increased 5 fold from 2014 to 2018 in the state"
Pg.47 "Heat waves records in Chhattisgarh"
Pg.69 "Between 2011-2015, 1058 people died due to lightning in the state"
Pg.45 "The registered cases of vector-borne illnesses in Goa over the last five years are indicated in the table below"</t>
  </si>
  <si>
    <t>Page no. 30 "Air Quality Index of districts of Dadra &amp; Nagar Haveli and Daman for the
Year 2021"
Page no. 34 "Correlation of month-wise percentage of ARI cases against AQI in the DNH &amp; Daman District for the year 2018- 2021"
Page no. 44 "Situation analysis"
Page no. 44 "Month-wise comparison of average rainfall and the average percentage of dengue cases reported in the UT of Dadra Nagar Haveli &amp; Daman Diu in the last 3 years (2018-2021)"
Page no. 45 "Trend and incidence of API in the UT during the last ten years"
Page no. 45 "Month-wise comparison of average rainfall and the average percentage of Malaria PV cases reported in the UT of Dadra Nagar Haveli &amp; Daman Diu in the last 3 years (2018-2020)"
Page no. 57 "Cyclone"
Page no. 57 "Earthquake"
Page no. 57 "Drought"
Page no. 57 "Flood"</t>
  </si>
  <si>
    <t>Pg.8 "The state has reported higher burden of ischemic heart diseases than the national average. (GBD) ischemic
heart disease and COPD were leading causes of Disease Adjusted Life Years (DALY). Highest DALY was
attributable to risk factors like malnutrition, air pollution, dietary factors and high blood pressure."
Pg.10 "Annual Pollutant Levels in NCAP cities, other industrial/metro cities, Delhi, 2016-22"
Pg.10 "In 2019, Delhi state reported 580 cases and
8 HRI deaths. In2020, 64 cases of HRI were reported. As of June 2022, total315suspected heatstroke cases
were reported."
Pg.11 "Major mosquito-borne diseases reported through National Vector-Borne Disease Surveillance"
Pg.13 "Acute Respiratory Illness (ARI) data"
Pg.32 "Situational analysis of VBD in DELHI"</t>
  </si>
  <si>
    <t>Pg.19 "COPD has risen to the 4th leading cause of DALY in Goa with the 4% contribution compared
to its 2.6% contribution in the 1990’s."
Pg.19 "ARI cases"
Pg.20 "Goa’s mean annual temperature has increased by over 1°C since the beginning of the 20th
century till date, much of it during the 1990-2018 period. Mean annual temperatures (model
ensemble) in Goa may increase by around 2°C in the 2030s compared to the 1901-1950
period, and further to by around 4°C by 2080s under high emission scenarios."
Pg.21 Trend of VBDs
Pg.21 "No malaria deaths since 2018 and no dengue or chikangunya-related deaths since 2019 and no failariasis cases in the state since 2014"</t>
  </si>
  <si>
    <t>Pg.1 "The state has reported higher burden of ischemic heart diseases than the national average. (GBD) ischemic heart disease and COPD were leading causes of Disease Adjusted Life Years (DALY)."
Pg.2 "Annual Pollutant Levels in NCAP cities, other industrial/metro cities, Gujarat, 2016-19"
Pg.3 "Gujarat is a heat-vulnerable state. In 2022, India reported 280 heat wave days from March 11-to May 18, 2022—the highest in 122 years."
Pg.3 "Annual average temperature change observed in Gujarat, 1901-2021"
Pg.5 "Major mosquito-borne diseases reported through National Vector-Borne Disease Surveillance in Gujarat, 2019-21"
Pg. 5 "Instances of floods has been reported every year since 2013 from the state with report of 27 deathsin 2019 and 29 in 2022 as per IMD. 2017 floods affected multiple cities and districts and lead to 224 deaths."
Pg.6 "Gujarat is one the chronic drought prone state of India, with an average annual rainfall about only 700 mm with more than half of the Talukas of Gujarat receiving
rainfall within the range of 200-400 mm."
Pg.28 "Situational analysis of VBD in Gujarat"</t>
  </si>
  <si>
    <t>Pg.10 "Dharamshala receives the highest rainfall, nearly about 3400 mm. Spiti is the driest area of the state (rainfall below 50mm)."
Pg.10 "Temperature"
Pg.59 "Status of Vector-Borne Diseases in the State of Himachal Pradesh"</t>
  </si>
  <si>
    <t>Pg.9 "As per the INCCA assessment, the number of rainy days in the Himalayan region in the 2030s may
increase by 5-10 days on average, with an increase of more than 15 days in the eastern part of the Jammu and
Kashmir region. The intensity of rain fall is likely to increase by 1-2 mm/ day"
Pg.14 "ARI cases registered in the state between 2017 and 2019 include"
Pg.15 "DISTRICT WISE DETAIL OF VECTOR BORNE DISEASES IN J&amp;K 2017, 2018 &amp; 2019"
Pg.16 "The details of water-borne cases registered in the state are presented"</t>
  </si>
  <si>
    <t>Pg.9 "Decadal distribution of rainfall of Ranchi (1956 to 2008) of Jharkhand state"
Pg.12 "In 2010, the
rainfall deficit in the state was 47%, this resulted in food production falling by more than 50%."
Pg.14 "Statistics related to morbidity and mortality of climate-sensitive illnesses in the state"
Pg.20 "Extreme weather events in Jharkhand during 2008-2012" 
Pg.47 "Vector-Borne Diseases"</t>
  </si>
  <si>
    <t>Pg.12 "Year Wise Malaria cases"
Pg.13 "Distribution of Dengue positive cases (2018-2022)"
Pg.15 "Status of Mental Health Diseases as reported by Mental Health Programme, Karnataka"
Pg.16 "Waterborne &amp; Foodborne diseases"</t>
  </si>
  <si>
    <t>Page no. 17 "Trend of selected climate sensitive Communicable Diseases notified through
Integrated Disease Surveillance Project in Kerala (2011-2018)"
Page no. 19 "Hepatitis A outbreaks reported from Kerala 2012-2016: 84 outbreaks in 5 years"
Page no. 20 "Heat related illnesses in 2022"
Page no. 30 "District API (Air Pollution Index) including SPM (Suspended Particulate Matter) (2008-2016)"
Page no. 30 "The number of vehicles on the roads in Kerala has increased more than 20 times ....................personal vehicles are scooters and motor cycles."
Page no. 31 "Impact of air pollution on disease burden in urban Kerala"
Page no. 32 "Air Quality Index of major towns/cities of Kerala as of November 30 2021 &amp; July 30 2022."
Page no. 43 "Kerala Statistics on Heat Wave"
Page no. 44 "Temperature Anomaly"
Page no. 45 "Heat related illness district wise data from 2019-20"
Page no. 54 "Number of  dengue cases across Kerala in India from 2014 to 2021"
Page no. 55 "District wise number .....Leptospirosis"
Page no. 55 "Chikangunya, Malaria, JE, Scrub Typhus, LF, KA, KFD.</t>
  </si>
  <si>
    <t>Pg.18 "LAKSHADWEEP WEATHER AVERAGES"
Pg.20 "A mean Sea Level Rise (SLR) of 15-38 cm is projected
along India's coast by the mid-21stcentury and of 46-59 cm by 2100."
Pg.20 "Maximum erosion observed
over a period of 35-40 years was in the range 28 to 44 m. With a tiny
landmass of 32 sq.km and lying at below a maximum of 6 m from MSL"
Pg.24 "Available data on the topography of Kiltan, Kavaratti, Kadmat, Kalpeni-Cheriyam and Agatti-Bangaramislands suggest that the
predicted sea level rise scenario value of 1 m may be responsible for 19, 11, 19, 21 and 18% (respectively) land loss in these islands."
Pg.24 "Andrott, Kalpeni and Minicoy lie in a cyclone belt."
Pg.26 "IDSP Data 2021-2022"
Pg.66 "Disaster events in Lakshadweep"</t>
  </si>
  <si>
    <t>Page no. 8 "Temperature variability in the Madhya Pradesh"
Page no. 10 "Projected heat stress in Madhya Pradesh"
Page no. 15 "In Madhya Pradesh approximately 37.7 million Indians are
thought to be affected by water borne diseases each year. 1.5 million children are thought to die from diarrhoea alone."
Page no. 15 "The most polluted cities in the state are Jabalpur, Bhopal, and Indore."
Page no. 16 "Details of cases recorded of climate-sensitive diseases"
Page no. 17 "Reported cases of ARI in top ten districts of Madhya Pradesh"
Page no. 18 "Pneumonia case in top ten districts of Madhya Pradesh"
Page no. 43 "Malaria"
Page no. 44 "Dengue"
Page no. 45 "Chikangunya"
Page no. 45 "JE"
Page no. 85 "Water born disease in the ten different districts of Madhya Pradesh."</t>
  </si>
  <si>
    <t>Pg.9 "Vector Borne Diseases"
Pg.11 "Water Borne Diseases"
Pg.11 "Leptospirosis"
Pg.12 "Acute Respiratory Infection/ Influenza like illness and Influenza"
Pg.12 "Other Diseases"
Pg.43 "Heat related illness Status in Maharashtra"
Pg.64 "District wise Morbidity, Mortality and related statistics of Vector Borne diseases"</t>
  </si>
  <si>
    <t>Pg.3 "South-western parts of
the state ie. Jiribam, Churachandpur, Thoubal, Imphal-East, Imphal-West, and some parts
of Chandel and Tamenglong have experienced an increase in both maximum and
minimum temperature of ≥1.75oC and ≤1.5oC respectively in the last 100 years"
Pg.4 "The lakes namely Lamphelpat, Takyelpat, Akampat, Porompat, Khonghampat, and Sangaipat which were once large fresh water lakes are now filled up and elevated."
Pg.4 "“Rice yield is projected to decrease in seven out of nine districts of Manipur viz Chandel and Thoubal by 3% and between 0.4 to 0.1% in
Imphal (East &amp;West), Senapati, Ukhrul, and Tamenglong by the year 2050”."
Pg.6 "Climate Sensitive diseases prevalent in Manipur"
Pg.7 "Vector Borne Diseases (VBD)"
Pg.8 "Water borne diseases"
Pg.8 "ARI/ Influenza like"
Pg.35 "Earthquake"
Pg.36 "Human lives lost due to Floods/Landslides/Cyclones"
Pg.29 "Various Types of Vector-Borne Diseases and disease load during the last 10 years in Manipur"
Pg.40 "Year-wise Morbidity, Mortality and related statistics of Vector-Borne Diseases in Manipur"</t>
  </si>
  <si>
    <t>Pg.9 "Trend in rainfall variability"
Pg.10 "Trend in temperature variability"
Pg.11 "Projected change in average temperature"
Pg.13 "District-wise projection of extreme events in precipitation"
Pg.17 "Yearly trend of Vector-Borne Diseases in Meghalaya, 2019-2022"
Pg.17 "Outbreaks of ADD and Typhoid in East Khas Hills districts, Meghalaya."
Pg.17 "Details of ARI/ILI cases reported from the Meghalaya"
Pg.18 "Landslide and Floods"</t>
  </si>
  <si>
    <t>Pg.9 "The annual rainfall shows decreasing trend since the year 2010 to 2019."
Pg.9 "The State falls under Seismic Zone V, and thus prone to strong earthquakes."
Pg.10 "Temperature"
Pg.16 "Annual pollutants CPCB report, Aizawl Mizoram"
Pg.17 "Year wise Distribution of Malaria Cases in the district of Mizoram."
Pg.18 "District-wise Dengue Case load in Mizoram"</t>
  </si>
  <si>
    <t>Pg.6 "In the mid-century (2020-2050), the state is projected to experience an increase in annual average
temperature between 1.6°C and 1.8°C."
Pg.7 "Increase in extreme rainfall events (100 mm/day) is projected in some districts of the state."
Pg.7 "The drought weeks
across Nagaland are likely to increase by 25-50% in 2021-2050s with respect to current base line scenario."
Pg.8 "Climate Projections for Nag aland in 2021 – 2050"
Pg.13 "Annual Pollutant Levels in NCAP cities"
Pg.14 "ARI/ILI, DISTRICTWISE"
Pg.17 "Summary of observed trends in Temperature and precipitation."
Pg.19 "Major mosquito-borne diseases reported through National Vector-Borne Disease
Surveillance in Nagaland, 2018-20"
Pg.21 "Extreme Weather Events"</t>
  </si>
  <si>
    <t>Pg.7 "A study on the effects of disasters reveals that between 1963 and 1999, Odisha experienced 13 major disasters, which killed 22,228 people"
Pg.23 "As per the State Pollution Control Board (SPCB) the cities mentioned in the following table
have AQI level above 200 (data for year 2018-2019)-"
Pg.30 "Heat condition over Odisha"
Pg.39 "From the 95 years of the last 105 years, floods have occurred for 50 years, droughts for 32 years, and cyclones have struck the state for 11 years."</t>
  </si>
  <si>
    <t xml:space="preserve">Pg.9 "CLIMATE DATA OF THE STATE
CLIMATE AND WEATHER EXTREMES"
Pg.10 "Annual number of events in very hot days (95th percentile) category shows increasing
trends for all districts of Puducherry UT except Yanam."
Pg.15 "WATER AND FOOD BORNE DISEASES"
Pg.15 "recorded cases of the prevalence of various climate-sensitive diseases in Puducherry is mentioned in the table below-"
Pg.18 "Cardio-respiratory illnesses in the state"
Pg.18 "MENTAL HEALTH ILLNESS"
Pg.18 "Zoonotic diseases"
Pg.30 "AQI of all cities in Puducherry UT falls within the Good to Satisfactory limits"
Pg.30 "Morbidity, Mortality and related statistics of air pollution"
Pg.41 "There is no data on the prevalence of heat-related illness in Puducherry UT"
Pg.42 "Heat wave days in Puducherry District 1981- 2020"
Pg.62 "Mortality and related statistics during disaster events in Puducherry"
</t>
  </si>
  <si>
    <t>Pg.20 "Around 16 million tonnes of paddy and 8
million tonnes of wheat straware burnt in the agricultural fields every year leading to air pollution"
Pg.21 "RSPM is above the annual average standard of 60 μg/m3 prescribed by CPCB. Ludhiana, Amritsar, Gobindgarh and Khanna cities show RSPM"
Pg.42 "Year-wise distribution of Malaria cases in Punjab, 2007-2021"
Pg.44 "District -wise dengue cases in Punjab (2017-2021)"
Pg.52 "Punjab state lies in zone III and IV which are broadly associated with seismic intensity on VII and
VIII on MMI scale respectively. As per earthquake hazard zoning map, about 50 per cent area in
north Punjab, comprising Amritsar, Gurdaspur, Hoshiarpur, Jalandhar, Kapurthala, Ludhiana,
Patiala and Rupnagar districts is zone IV liable to MSK intensity 8 and about 45 per cent in zone III
could have intensity 7 on the Richter scale."
Pg.53 "The Kandi tract in Rupnagar district of Punjab state has undulating topography, inadequate ground water, steep slopes, bare land surface and, thus, severe problems of soil erosion."
Pg.53 "Priority District wise Morbidity, Mortality and related statistics of diseases prevalent during disasters in the state"</t>
  </si>
  <si>
    <t>Pg.5 "Vulnerability Index"
Pg.6 "Rainfall Variation"
Pg.6 "2071-2100 projections show an increase of 20mm for maximum 1-day rainfall and 30 mm for maximum 5-day rainfall."
Pg.6 "Extreme Climate: Droughts and Floods"
Pg.7 "Temperature Variation"
Pg.7 "High resolution regional model projections for 2071-2100 have predicted an increase in annual mean surface temperature for all parts of India with an increase of 2-4 degrees for the state of Rajasthan."
Pg.9 "Annual Pollutant Levels in NCAP cities, other industrial/metro cities, Rajasthan"
Pg.10 "Centre-wise average annual mean temperature in Rajasthan (1980-2009)"
Pg.10 "Major mosquito-borne diseases reported through National Vector-Borne Disease Surveillance in Rajasthan, 2020-22"
Pg.11 "Flood hazard risk zones, Rajasthan"
Pg.11 "Drought hazard risk zones, Rajasthan"
Pg.12 "Cyclone and Storm Surge hazard risk zones, Rajasthan"
Pg.24 "Rationale of Heat wave action Plan:"
Pg.31 "Situational analysis of VBD in Rajasthan"</t>
  </si>
  <si>
    <t>Pg.6 "In contrast, the minimum temperature in the winter is 0°C, and the minimum temperature in the summer is 13°C. As a result, the state is more vulnerable to cold waves than heat waves."
Pg.10 "Major vector borne diseases"
Pg.10 "Air pollution related illness"
Pg.11 "ARI"
Pg.11 "Water Borne Diseases"
Pg.26 "Following cities/districts in Sikkim have recorded the highest AQI value in the
year 2021."
Pg.33 "HUMAN LIVES LOST DUE TO FLOOD/LANDSLIDES"
Pg.44 "Various types of Vector-Borne Diseases in the state for the past years:"</t>
  </si>
  <si>
    <t>Pg.3 "For the state of Tamil Nadu as a whole, the projections of maximum temperature "
Pg.3 "The annual rainfall projections for the same periods indicate a general decrease in rainfall"
Pg.4 "Climate sensitive Diseases in Tamil Nadu"
Pg. 6 "In Tamil Nadu, according to the IDSP weekly report Jan 2019 19.15% cases were reported. According to IDSP,
the districts reporting Chinkungunya were Madurai, Theni, Salem, Dharmapuri, Pudukottai, Ramanathapuram,
Karur, Ariyallur, Erode and Trichy."
Pg.6 "According to the IDSP weekly report Jan 2019, 3.43% cases are from Tamil Nadu which was considered as outbreak."
Pg.7 "As per the IDSP weekly report Jan 2019 4.19% laboratory confirmed typhoid
cases were reported in Tamil Nadu. Districts that reported typhoid outbreak in 2019 were Dharmapuri, Salem and Virudhnagar- Sivakasi."
Pg.17 "AQI"
Pg.24 "PRIORITY DISTRICTS"
Pg.32 "Vector borne Disease Situational Analysis"
Pg.37 "Additionally, due to Climate
Extremities, the State is facing noticeably higher incidence of cyclonic events (Vardah 2016, Ockhi 2017and Gaja 2018)
severe floods (2015 and 2017)"</t>
  </si>
  <si>
    <t>Pg.13 "Cases of recorded vector-borne diseases"
Pg.15 "As per the records of the Disaster Management
Department, Telangana, 541 deaths were reported in the state in 2014-15 (May 30th, 2015) owing to heat stroke."
Pg.27 "Priority City/District for Air Pollution Surveillance as per above AQI"
Pg.38 "No of Deaths as per DMD"
Pg.52 "Situational analysis of VBD in Telangana"
Pg.96 "List of Heat Days in Telangana"</t>
  </si>
  <si>
    <t>Page no. 9 "TEMPERATURE"
Page no 11 "In recent years, usage of private vehicles also increased by 10 fold which may lead to many air pollution related diseases."
Page no. 15 "Malaria situation last 10 years"
Page no.16 "Health impacts due to disasters : Flood, Drought and other climate linked events"
Page no. 24 "As pe the National Clean Air Programme (NACP) report there are 2 air quality
monitoring stations in the state at Agartala. The recorded average AQI levels by the monitoring stations in Agartala are as follows"
Page no. 45 "The most prevalent hazard ........ range of 15 to 19 days especially in some parts
of West Tripura and North Tripura districts.</t>
  </si>
  <si>
    <t>Page no. 6 "Major mosquito-borne diseases reported through National Vector-Borne Disease Surveillance in Uttar Pradesh, 2019-22
Page no. 7 "Status of Malaria, Filaria and Kala Azar in Uttar Pradesh"
Page no. 8 ": As per an ICMR and PHFI analysis, Ischemic Heart disease, LRTI, Diarrhoeal diseases, and COPD are the top causes of Years of Life Lost in Uttar Pradesh for the year 2016."
Page no. 13 "Year wise status of floods in UP"
Page no. 15 "In recent years, the year 2002, &amp; 2004 were severe in terms of drought, with loss to crops, livestock, and property assessed at Rs.7540 crores and Rs.7292 crores respectively."
Page no. 15 "Cold wave"
Page no. 22 "ANNUAL AIR QUALITY TRENDS FOR PM10 IN UTTAR PRADESH"
Page no. 22 ": ANNUAL Avg PM2.5 / PM10"
Page no. 31 "Year wise status of Heat wave cases and Deaths in UP"
Page no. 39 "ZIKA OUTBREAK IN UTTAR PRADESH – TOTAL TESTS AND CASES"
Page 40. "Districts with high Malaria prevalence, Uttar Pradesh, 2021-22"
Page no. 40 "Districts with high Dengue prevalence, Uttar Pradesh, 2021-22"
Page no. 40 "Districts with high Chikungunya prevalence, Uttar Pradesh, 2021-22"</t>
  </si>
  <si>
    <t xml:space="preserve">Page no. 23 "Malaria Cases - Uttarakhand"
Page no. 23 "Dengue Cases - Uttarakahand"
Page no. 24 "ADD Cases - Uttarakhand"
Page no. 24 "Enteric Fever Cases - Uttarakhand"
Page no. 24 "ARI/ILI Cases - Uttarkahans"
Page no. 51 "Status of Vector-Borne diseases in the state"
Page no. 56 "Uttarakhand lies in the highest seismic risk zones of the
country i.e. Zone V and IV."
Page no. 56 "Uttarakhand has attained its position among first five states in respect of natural hazards, i.e., earthquakes, flash floods triggered by cloud burst, landslides, avalanches, and forest fires and frequent droughts in summers.
Page no. 65 "Ambient air quality characteristics (Year 2021)"
</t>
  </si>
  <si>
    <t xml:space="preserve">Page no. 32 "Five Years Comparison ARI &amp; Pneumonia"
Page no.45 "Morbidity &amp; Mortality in West Bengal"
Page no. 62 "Morbidity &amp; mortality"
Page no. 69 "Morbidity"
</t>
  </si>
  <si>
    <r>
      <rPr>
        <rFont val="Arial"/>
        <color theme="1"/>
        <sz val="11.0"/>
      </rPr>
      <t xml:space="preserve">2. Does the coverage of climate-sensitive health risks include - </t>
    </r>
    <r>
      <rPr>
        <rFont val="Arial"/>
        <b/>
        <color theme="1"/>
        <sz val="11.0"/>
      </rPr>
      <t>a) climate-sensitive diseases and health outcomes, b) risks to the health system and facilties, c) surveillance ability of the health system to monitor/predict outbreaks, d) availability of critical environmental services (WASH, energy) at the facility level, and d) disease burden of those diseases on the health system?</t>
    </r>
  </si>
  <si>
    <t>Pg.11 "Climate Sensitive Diseases Prevalent in the State"
Pg.27 "Sentinel hospitals selected for ARI surveillance acitvity"
Pg.29 "Health Adaptation Plan on Heat"
Pg.33 " HRI Surveillance"</t>
  </si>
  <si>
    <t>Pg.15 "Major climate sensitive diseases prevalent in Arunachal Pradesh"
Pg. 28 "Surveillance on air pollution related illnesses, Presently on Acute Respiratory
Illness (ARI) in context of Air Pollution"
Pg.35 "Surveillance on heat related illnesses.
Daily Heat related illnesses surveillance reporting under NPCCHH in Arunachal Pradesh has been initiated 1st April 2022 in all the district health facilities from Primary Health Center and above. The months April- June are identified to be key months for monitoring and reporting heat-related illnesses and incidences."</t>
  </si>
  <si>
    <t>Pg.4 "Climate Change and Health"
Pg.19 District wise population and health facilities affected by Floods of 2022 
Pg.22 "This action plan outlines activities to be conducted under priority climate sensitive diseases"
Pg.27 "National Outdoor Air and Disease Surveillance (NOADS)"
Pg.31 "National Heat-Related Illness Surveillance (NHRIS), NPCCHH Currently Assam is not part of the NHRIS. However,state may decide to collect relevant data for assessment of heat impact on population"</t>
  </si>
  <si>
    <t xml:space="preserve">Pg. 9 "There are several climate sensitive issues/diseases in Bihar which include"
Pg. 31 "In addition, the state initiated a prospective surveillance on acute respiratory illnesses (ARI) seeking care in four tertiary care hospitals in the capital city, Patna during 2018-2020. All probable cases relatedto respiratory illnesses were captured reporting to either emergency or out-patient department ofMedicine, Pediatrics, Chest medicines on a daily basis using an offline online synchronized application.Each case was also linked with AQI in collaboration with the state pollution control board with theobjectives of identifying cases related to air pollution This initiative got badly affected by COVID
pandemic and data collection process stopped in mid-2020."
Pg.34 "The sentinel sites in these districts have been identified for the surveillance:"
Pg.39 "Strengthening Health Sector Preparedness through Surveillance"
Pg.45 "Strengthening Health Sector Preparedness through Surveillance"
Pg.51  "Strengthening Health Sector Preparedness through Surveillance"
</t>
  </si>
  <si>
    <t>Pg.41 "Surveillance"
Pg.43 "SENTINEL HOSPITALS SELECTED FOR ARI SURVEILLANCE ACTIVITY:"
Pg.51 "Surveillance"</t>
  </si>
  <si>
    <t>Page no. 17 "Summary of climatic factors and their impact on Health in UT of Dadra Nagar Haveli"
Page no. 19 "Details of climate-sensitive illnesses in the UT of Dadra &amp; Nagar Haveli and Daman &amp; Diu"
Page no. 33 "Surveillance on Acute Respiratory Illness (ARI)"
Page no. 40 "Surveillance"
Page no. 47 "Surveillance"
Page no. 60 "Surveillance and Alert/ Early Warning Mechanism"</t>
  </si>
  <si>
    <t>Pg.5 "Health vulnerabilities due to climate change in Delhi"
Pg.24 "National Outdoor Air and Disease Surveillance (NOADS)"
Pg.28 "National Heat-Related Illness Surveillance (NHRIS),"
Pg.39 "Strengthening Health Sector Preparedness"
Pg.43 "Strengthening Health Sector Preparedness"</t>
  </si>
  <si>
    <t>Pg.17 "Following are the major climate-sensitive diseases prevalent in Goa"
Pg.34 "Surveillance"
Pg.43 "Surveillance"</t>
  </si>
  <si>
    <t>Pg.9 "This action plan outlines activities to be conducted under priority climate sensitive diseases"
Pg.17 "Surveillance guidelines" 
Pg.24 "National Heat-Related Illness Surveillance (NHRIS), NPCCHH"
Pg.32 "Integrate weather parameters with VBD surveillance under NVBDC at District level"
Pg.38 "Surveillance"</t>
  </si>
  <si>
    <t>Pg.21 "Climate Sensitive Diseases or issues prevalent in Himachal Pradesh"
Pg.42 "ARI Surveillance Activity at State Level"
Pg.57 "Surveillance Activities"</t>
  </si>
  <si>
    <t>Pg.13 "CLIMATE SENSITIVE DISEASES IN J &amp; K"
Pg.24 "AQI Monitoring Stations Within State"
Pg.26 "SURVEILLANCE"</t>
  </si>
  <si>
    <t>Pg.12 "Climate-Sensitive Diseases prevalent in Jharkhand"
Pg.17 "Perceived Climate Impacts"
Pg.36 "ARI Surveillance at State"
Pg.37 "Status of ARI Surveillance data collection at states"
Pg.42 "Surveillance on heat related illnesses."</t>
  </si>
  <si>
    <t>Pg.27 "ARI Surveillance Activity at State Level"
Pg.40 "Surveillance"</t>
  </si>
  <si>
    <t>Page no. 17 "CLIMATE SENSITIVE DISEASES PREVALENT IN KERALA"
Page no. 38 "Surveillance strengthening related to air
pollution"</t>
  </si>
  <si>
    <t>Pg.24 "CLIMATE SENSITIVE ISSUES /DISEASES PREVALENT IN
LAKSHADWEEP UT"
Pg.25 "Following are the climate-sensitive diseases prevalent in the UT"
Pg.38 "SURVEILLANCE"
Pg.48 "SURVEILLANCE"
Pg.53 "Laboratory Facilities to diagnose malaria are available in GH, CHCs and designated PHCs"
Pg.67 "Provision of safe and resilient health facility- It is proposed to strengthen
the WASH standards, biomedical waste management, uninterrupted
supply of electricity, transportation, and food and accomodation services
during a disaster."
Pg.70 "EARLY WARNING DISSEMINATION"</t>
  </si>
  <si>
    <t>Page no. 15 "Climate sensitive issues in Madhya Pradesh"
Page no. 33 "SURVEILLANCE"
Page no. 40 "Surveillance"</t>
  </si>
  <si>
    <t>Pg.9 "Climate Sensitive issue/Diseases prevalent in the State"
Pg.37 "ARI Surveillance"
Pg.52 "Surveillance"
Pg.66 "Burdened health facility in urban area"
Pg.71 "Surveillance"</t>
  </si>
  <si>
    <t>Pg.6 "Climate Sensitive Issues/Diseases prevalent in Manipur"
Pg.24 "Causes of Ambient Air Pollution in the state of Manipur"
Pg.27 "Surveillance"
Pg.28 "Status of ARI Surveillance data collection at the state"
Pg.40 "Year-wise Morbidity, Mortality and related statistics of Vector-Borne Diseases in Manipur"</t>
  </si>
  <si>
    <t>Pg.26 "SURVEILLANCE"</t>
  </si>
  <si>
    <t xml:space="preserve">Pg.14 "CLIMATE SENSITIVE ISSUES/DISEASES IN  MIZORAM"
Pg.31 "National Outdoor Air and Disease Surveillance (NQADS)"
Pg.38 "National Heat-Related Illness Surveillance (NHRIS), NPCCHH"
Pg.45 "Integrate weather parameters with VBD surveillance under NVBDCP at District level"
Pg.50 "Surveillance"
</t>
  </si>
  <si>
    <t>Pg.12 "CLIMATE SENSITIVE ISSUES OR DISEASES IN NAGALAND"
Pg.34 "Surveillance Guidelines"
Pg.42 "National Heat-Related Illness Surveillance (NHRIS), NPCCHH"</t>
  </si>
  <si>
    <t>Pg.21 "Climate-sensitive issues/ diseases prevalent in Odisha"
Pg.27 "Surveillance on Acute Respiratory Illness (ARI)"
Pg.33 "Daily Heat related illnesses surveillance reporting under NPCCHH in Odisha"
Pg.45 "Surveillance"</t>
  </si>
  <si>
    <t>Pg.14 "Climate Sensitive Diseases Prevalent In Puducherry UT"
Pg.30 "AQI monitoring stations in Puducherry"
Pg.37"ARI Surveillance Activity"
Pg.46 "Surveillance"
Pg.49 "In Puducherry, the surveillance for vector-borne diseases is being carried out by at 5 hospitals, 4 CHCs, 39 PHCs, and 80 sub-centres."
Pg.69 "Surveillance"</t>
  </si>
  <si>
    <t>Pg.13 "Climate Sensitive Diseases prevalent in the State"
Pg.26 "ARI Surveillance Sentinel Hospitals"
Pg.27 "Therefore, quality data could not be gathered."
Pg.38 "National Heat-Related Illness Surveillance (NHRIS), NPCCHH"</t>
  </si>
  <si>
    <t>Pg.9 "Climate Sensitive Diseases or issues prevalent in Rajasthan"
Pg.20 "National Outdoor Air and Disease Surveillance (NOADS)"
Pg.27 "National Heat-Related IllnessSurveillance (NHRIS), NPCCHH"</t>
  </si>
  <si>
    <t>Pg.10 "Climate Sensitive Illnesses prevalent in Sikkim"
Pg.31 "SURVEILLANCE"
Pg.31 "SENTINEL HOSPITALS SELECTED FOR ARI SURVEILLANCE ACTIVITY"
Pg.32 "The SDMA and the GSI have
come together to develop a regional level early warning system for excessive rainfall resulting in landslides. The warning system consists of over 200 sensors that can measure geophysical and hydrological parameters like rainfall, pore pressure and seismic activities. It will monitor a densely populated area which has seen landslides in the past. The system is capable of
warning about 24 hours in advance."</t>
  </si>
  <si>
    <t>Pg.4 "Climate sensitive Diseases in Tamil Nadu"
Pg.5 "Sea level rise induced storm surges and flooding can also affect critical infrastructure that impacts a healthy community life. Water treatment facilitates, desalination plants,
garbage disposal areas, emergency health care services, road and transportation systems can all be interrupted
and compromised."
Pg.20 "Surveillance"
Pg.24 "EARLY WARNING SYSTEM ON HEAT WAVE"
Pg.40 "Strengthening Health Sector Preparedness"</t>
  </si>
  <si>
    <t>Pg.12 "Climate Sensitive Diseases Prevalent in the State"
Pg.15 "Details of ARI surveillance in Telangana"
Pg. 34 "IDENTIFIED HOSPITALS in 4 NON-ATTAINMENT CITIES - ARI SURVEILLANCE DETAILS"
Pg.48 "National Heat-Related Illness Surveillance"
Pg.70 "Strengthening Health Sector Preparedness"</t>
  </si>
  <si>
    <t>Page no. 14 "Climate Sensitive Illnesses or issues in Tripura"
Page no. 30 "Surveillance on Acute Respiratory Illness (ARI) in context of Air Pollution"
Page no. 26 "Surveillance"
Page no. 44 "The State Disaster Management Authority (SDMA) and the Geological Survey of India (GSI) have come together to develop a regional level early warning system for excessive rainfall resulting in landslides. The warning system consists of over 200 sensors that can measure geophysical and hydrological parameters like rainfall, pore pressure and seismic activities. It will monitor a densely populated area which has seen landslides in the past. The system is capable of warning about 24 hours in advance."</t>
  </si>
  <si>
    <t>Page no. 26 "Sentinel surveillance sites-NCAP and other urban areas under NOADS, NPCCHH in Uttar Pradesh: ARI Surveillance Designated Nodal Officer"</t>
  </si>
  <si>
    <t>Page no .10 "Priority impacts for Uttarakhand"
Page no. 38 "Surveillance on Acute Respiratory Illness (ARI) in context of Air Pollution"
Page no. 48 "Surveillance"</t>
  </si>
  <si>
    <t>Page no. 27 "Disease prioritization (Revised)"
Page no. 36 "Surveillance for ARI ... Data on ARI is being captured daily in the Emergency Dept/ER and Medical Wards of the above-mentioned hospitals, being compiled, and reported at the end of the month for correlation
of the disease data with the Air Quality Index."
Page no. 71 "Disease surveillance"</t>
  </si>
  <si>
    <t>Pg.11 "Statistics of state/UT"
Pg.32 " The possibility of heat waves occurring in some pockets especially in the foothill districts remains very high"
Pg.38 "In accordance with the recorded cases of  vector-borne diseases in the state, following districts have been identified to be on priority -"
Pg.38 "The socio-economic data of the vulnerable population in these districts is indicated
in the tables below"</t>
  </si>
  <si>
    <t>Pg.7 "Air Pollutant levels in Major Cities, Assam, 2016-2019
"
Pg.8 "Ranking of heat vulnerable districts of Assam, 2017"
Pg.8 "Malaria is particularly endemic in Karbi,
Anglong, Kokrajhar, N.C.Hills (Dima Hasao), Chirang, Goalpara, Baksa, Hailakandi and in Udalguri."
Pg.9 "Dengue is prevalent in urban and semi-urban areas, and most of the cases have been reported from Guwahati, the largest metropolitan city of Assam."
Pg.8 " Distribution of
Lymphatic filariasis (LF) is confined toa few districts and is common among the tea-garden workers."
Pg.10 "Hotspots for JE, Malaria and Dengue"
Pg.10 "Malaria transmission risk"
Pg.15 "
Pg.15 "Seventeen worst flood affected districts are shown in a vulnerability assessment-based hazard map""
Pg.16 "Major areas affected due to river erosion, Assam"
Pg.17 "Major landslide affected areas, Assam"
Pg.17 "Wind hazard map of Assam"
Pg.18 "Goalpara, Morigaon,
Nalbari, Darrang, Barpeta, Sivasagar, Cachar of Assam are drought hotspots in north-east region."
"Vulnerable groups: Primarily Children, women, older adults, traffic police, outdoor
workers/vendors"</t>
  </si>
  <si>
    <t>Pg.10 "AQI: Comparison across three districts in Bihar between 2017 and 2022"
Pg.17 "6: Earthquake prone areas of Bihar"
Pg.18 "Drought Prone Areas of Bihar"
Pg.18 "86% of the total area of Bihar falls in high damage risk zone of cyclone of 47 m/s velocity which means that a population of 8,92,71,990 consisting of 4,26,72,589 women, 1,59,80,720 children of 0—6yrs. of age and 2,96,38,300 SC/ST and minorities living either in 40,64,253 mud houses or in 74,10,477 brick walled houses or in 59,37,526 houses of other materials out of which 68,60,143 are thatched with lightweight materials; 59,72,988 with heavy weight materials and 47,21,166 have flat roofs."
Pg.19 "The area worst affected by floods in the state is 56% of its total geographical area covering 28 out of 38 districts."
Pg.49 "Target population will be vulnerable groups including elderly population, under-five children, pregnant women and people with other comorbidities including respiratory illnesses, cardiac problems etc. and outdoor workers"</t>
  </si>
  <si>
    <t>Pg.14 "Chhattisgarh is a state with highest mines and mineral based industries and Air Pollution is one of the biggest threats to the health of the population"
Pg.14 "In addition to all the big cities in the state, districts of Raipur, Bilaspur, Korba, Durg and Raigarh
are particularly vulnerable to the effects of air pollution."
Pg.15 "From the state of Chhattisgarh Raipur, Bhilai and Korba are included in NCAP"
Pg.16 "According to news reports high temperatures in some of the cities in May 2019 were:"
Pg.19 "The southern and north eastern districts of the state including Bijapur, Dantewada, Bastar, Sukma, Kanker, Kondagaon, Jagdalpur, Sukma, Narayanpur, Jashpur and Koriya are particularly vulnerable to malaria."
Pg.19 "Filaria endemic districts in Chhattisgarh are Ambikapur/ Surguja, Bilaspur, Dhamtari, Durg, Janjgir, Jashpur Nagar, Mahasamund, Raigarh, Raipur."
Pg.24 "In Chhattisgarh Bastar, Rajnandga, Bilaspur, Korba, Janjgir-Champa, Raigarh , Surguja, Jashpur, Balrampur and Surajpur are the districts which have high reporting of zoonotic diseases like Snake Bites and other animal bites"
Pg.67 "four district have been identified as severe drought prone district, which includes Baloda Bazar,
Bemetara, Mungeli, Kabirdham. which is drying up for a long period. According to statistics in year 2017-18, 96 tehsils in 21 districts of the State were affected from Drought and this affect around 9,58,411 farmers of the State."
Pg.67 "Rivers of the state which are susceptible to flooding"
Pg.69 "The effect of which has been seen on the districts of Chhattisgarh state like Sukma, Raigarh, Bastar, Bijapur."</t>
  </si>
  <si>
    <t>Page no. 57 "Cyclone"
Page no. 57 "Earthquake"
Page no. 57 "Drought"
Page no. 57 "Flood"</t>
  </si>
  <si>
    <t>Pg.12 "Flood hazard risk zones"
Pg.22 "Vulnerable groups (Primarily Children, women, older adults, traffic police, and outdoor workers)"
Pg.25"Vulnerable groups: police officers, outdoor works, women, children"
Pg.27 "Target population"
Pg.33 "Vulnerable groups (Primarily children, pregnant women, older adults, immunocompromised,
outdoor workers/vendors)"
Pg.37 "Vulnerable groups"</t>
  </si>
  <si>
    <t>Pg.29 "Target population"
Pg.39 "Vulneraiblity assessment for HRI" (Target groups)
Pg.49 " Floods: parts of Salcete, Ponda, Dharbandora, Sanguem, Tiswadi, Bardez, Pernem, Sattari, Bicholim"
Pg.49 "Landslides: parts of Salcete, Ponda, Quepem, Canacona"</t>
  </si>
  <si>
    <t>Pg.2 "According to this assessment, Dahod has high relative vulnerability among districts"
Pg.2 "According to National Clean Air Programme, there are three non-attainment cities as per national ambient air quality standards of 2011 to 2015 in Gujarat—Ahmedabad, Vadodara, Surat. Current annual safe limits for PM2.5 and PM10 are 40μg/m3 and 60 μg/m3."
Pg.3 "District of Banaskantha, Sabarkantha, Gandhinagar, Ahmedabad, Surendranagar, Rajkot, Kutch, Junagadh, Porbandar, Gir-Somanath and Valsad experienced heatwaves."
Pg.5 "Maximum contribution"
Pg. 6 "Figure 4: Flood hazard risk zones, Gujarat (GSDMA)"
Pg. 7 "Cyclone and Storm Surge hazard risk zones, Gujarat"
Pg.14 "Vulnerable groups (Primarily Children, women, older adults, traffic police, outdoor workers)"
Pg. 19 "Vulnerable groups (Primarily Children, women, older adults, traffic police, outdoor workers/vendors)" 
Pg.28 "District and city with high malaria/dengue prevalence"
Pg.34 "Following hotspot districts are identified each event:"
Pg.35 "Vulnerable groups (Primarily Children, women, older adults, traffic police, outdoor workers/vendors)"</t>
  </si>
  <si>
    <t>Pg.9 "Vulnerable Population"
Pg.21 "The districts situated in the Shivalik and Central zones are highly prone to water borne diseases (WBD).
Pg.21 "The Shivalik region is mainly prone to the vector-borne diseases (VBD) in the state."
Pg.22 "The districts more prone to this extreme
variability are Kinnaur, Lahaul and Spiti, Chamba, Upper altitudes of Shimla and Sirmour."
Pg.34 "Priority City/District for Air Pollution Surveillance as per the above AQI"
Pg.52 "Vulnerable districts"
Pg.59 "Solan, Bilaspur, Mandi, Kangra, Shimla, and Sirmaur are priority districts for VBDs."
Pg.64 "Vulnerability to Landslides, district Chamba, Kullu, Kinnaur, and parts of Kangra and Shimla are highly vulnerable to landslides and overall vulnerability shows that
the districts Chamba, Kangra, Kullu, Shimla, and Kinnaur are at a very high risk of vulnerability to various type of hazards."
Pg.66 "The following hotspot districts are identified for each event"</t>
  </si>
  <si>
    <t>Pg.42 "Vulnerable groups: police officers, outdoor
workers, women, children etc"
Pg.51 &amp; 52 Earthquakes, floods, landslides, drought, wind storm
Pg.52 "In the state, four Priority Districts for diseases prevalent during disasters have been identified. These include
Ramban, Reasi, Rajouri, and Poonch (according to the prevalence in the past years )"</t>
  </si>
  <si>
    <t>Pg.13 "Young children, older adults, people with medical conditions and below poverty line families (BPL) are most vulnerable in Jharkhand."
Pg.29 "Priority City/District for Air Pollution Surveillance as per above AQI"
Pg.39 "Farmers, workers, labourers, and travellers mostly suffer from the heat stressdisorders due to exposure to high atmospheric temperature."
Pg.39 "Priority Districts for Heat-related illnesses"
Pg.46 "Priority Districts for Vector Borne diseases"
Pg.52 "The priority districts for addressing the diseases prevalent in the state during disasters"
Pg.53 "Major outbreaks"</t>
  </si>
  <si>
    <t>Pg.17 "Karnataka districts likely to be affected by heat wave"
Pg.24 "Names of Cities identified under National Clean Air Program (NCAP) in the Karnataka:"
Pg.33 "Heat Vulnerable districts of Karnataka"
Pg.36 "Vulnerable districts/hotspots: District like Bidar, Raichur, Yadgiri, Balgalkote, Kalburgi."
Pg.36 "Vulnerable groups (Primarily Children, women, older adults, traffic police, outdoor workers/vendors)"
Pg.61 "General Disaster Profile"</t>
  </si>
  <si>
    <t>Page no. 4 "In Kerala, the health of human populations is sensitive to shifts in weather patterns and other aspects of climate change, owing to high population density, rapid urbanization, depletion of forest cover, high energy consumption, variation in food production, vector-borne diseases, widespread water contamination, inadequate sewage &amp; waste management and issues of inaccessibility to health care by the marginalised population."
Page no. 18 "Dengue"
Page no. 18 "Malaria"
Page no. 22 "Air Pollution"
Page no. 30 "Vehicular emission and noise from this vehicles
are severe in the three major cities of Keralanamely, Thiruvananthapuram, Kochi and Kozhikode."
Page no. 33 "Vulnerable population estimates in the state for health impact of Air pollution based on census&amp; NFHS5 data"
Page no. 44 "The State Action Plan on Climate Change (2014) has identified four districts – Alappuzha, Palakkad,
Idukki and Wayanad – as climate change ‘Hot Spots'"
Page no. 54 "Dengue"
Page no. 57 "Districts vulnerable to VBD"</t>
  </si>
  <si>
    <t>Pg.20 "SHORE LINE CHANGES"
Pg.21 "FLOOD PRONE AREAS OF LAKSHADWEEP ISLANDS"
Pg.24 "Available data on the topography of Kiltan, Kavaratti, Kadmat, Kalpeni-Cheriyam and Agatti-Bangaramislands suggest that the
predicted sea level rise scenario value of 1 m may be responsible for 19, 11, 19, 21 and 18% (respectively) land loss in these islands."
Pg.24 "Andrott, Kalpeni and Minicoy lie in a cyclone belt."
Pg.50 "Vulnerable groups, police officers, outdoor works, women, children, etc."
Pg.71 "Vulnerable groups: police officers,
outdoor works, women, children, etc."</t>
  </si>
  <si>
    <t>Page no. 43 "Malaria"
Page no. 44 "Dengue"
Page no. 45 "Chikangunya"
Page no. 45 "JE"</t>
  </si>
  <si>
    <t>Pg.9 "Following hotspot districts are identified each event:"
Pg.10 "The Maximum falciparum malaria cases are reported from Gadchiroli district followed by Mumbai."
Pg.11 "Maximum outbreaks are reported from vidharbha region."
Pg.11 "Leptospirosis is major concern in the Kokan belt of Maharashtra."
Pg.30 "Priority City/District for Air Pollution Surveillance as per above AQI"
Pg.30 "Vulnerable population"
Pg.44 "Priority Districts for Heat related illnesses (according to Prevalence since 2011-22)"
Pg.46 "Data of vulnerable population of State"
Pg.47 "Socioeconomic status of cases and deaths due to heat related illnesses till date"
Pg.47 Age wise distribution of deaths due to heat related illnesses 2022"
Pg.47 "Occupational status of deaths due to heat related illnesses in 2022"
Pg.54 "Following hotspot districts are identified each event:"
Pg.66 "Risk Mapping to identify the ‘Hot spots’ for vulnerable population with respect to health
infrastructure and other resources for Vector Borne diseases"</t>
  </si>
  <si>
    <t>Pg.7 "Priority districts"
Pg.8 "Priority districts"
Pg.9 "Priority districts"
Pg.20 "The vulnerable population includes elderly people above 60 years, children less
than 5 years, pregnant women, traffic police, outdoor workers, sweepers, rickshaw
pullers, auto-rickshaw drivers, street vendors and women not having clean fuel for
cooking etc."
Pg.20 "Category of vulnerable population"
Pg.31"The vulnerable population to heat-related illnesses primarily includes elderly, children
less than 5 years, slum dwellers, urban poor, outdoor workers, and migrant or displaced
people."
Pg.47 "Identified Health Facility"</t>
  </si>
  <si>
    <t>Pg.16 "Malaria is more prevalent in rural and semi-urban areas especially in Garo Hills which reported the maximum cases, Ribhoi and Jaintia Hills"
Pg.17 "Maximum outbreaks are reported from
the East Khasi Hills district"
Pg.18 "Maximum cases have been reported from East Jaintia Hills"</t>
  </si>
  <si>
    <t>Pg.28 "Target district or population"
Pg.35 "Targeted districts or population: - All 9 districts of Mizoram"
Pg.42 "Vulnerable groups (Primarily children, pregnant women, older adults,
immunocompromised, outdoor workers/vendors)"
Pg.47 "Vulnerable districts: All the 9 districts as Mizoram"
Pg.47 "Vulnerable groups"</t>
  </si>
  <si>
    <t>Pg.6 "Southern districts show higher increase in temperature"
Pg.7 "Southern districts of Nagaland are likely to receive higher rainfall with respect to the northern districts."
Pg.18 "Malaria is endemic in all the 11 districts while JE is detected in 8 districts (Dimapur, Kohima, Peren, Mokokchung, Zunheboto, Longleng, Tuensang, Wokha), and Dengue in 1 district (Dimapur)."
Pg.38 "Urban areas (NCAP Cities; Dimapur and Kohima)"</t>
  </si>
  <si>
    <t>Pg.10 "District wise distribution of population including vulnerable population"
Pg.20 "Priority Districts for environmental disease outbreak"
Pg.24 "Priority Districts"
Pg.30 "Heat prone districts of Odisha"
Pg.37 "Vulnerable districts of Odisha"
Pg.40 "Priority Districts for diseases prevalent during disasters in the state"</t>
  </si>
  <si>
    <t>Pg.15 "Vulnerable Population Details"
Pg.63 "Both Oulgaret
and Puducherry municipalities are prone to flood hazard while the southern part of the district are relatively less affected by flood."
Pg.80 "IDENTIFIED LOW -LYING AREA"
Pg.81 "MALARIA HOTSPOTS"</t>
  </si>
  <si>
    <t>Pg.12 "Climate Change Impacts and specific vulnerabilities of women"
Pg.36 "Vulnerable groups (Primarily Children, women, older adults, traffic police, outdoor workers/vendors/farmers)"
Pg.46 "Vulnerable groups (Primarily children, pregnant women, older adults, immunocompromised, outdoor workers/vendors)"
Pg.53 "Priority Districts for diseases prevalent during disasters in Punjab"</t>
  </si>
  <si>
    <t>Pg.18 "Target population"
Pg.22 "Vulnerable groups: police officers, outdoor works, women,
children"
Pg.24 "vulnerable population especially, children, elderly as well as the slum population"
Pg.25 "However, there are few districts which are identified as hotspots for Extreme Heat"
Pg.25 "Vulnerable groups"
Pg.29 " Vulnerable groups: police officers, outdoor works, women, children etc"
Pg.32 "Vulnerable groups (Primarily children, pregnant women, older adults, immune-compromised, outdoor workers/vendors)"
Pg.37 "Vulnerable groups (Primarily Children, women, older adults, traffic police, outdoor workers/vendors)"</t>
  </si>
  <si>
    <t>Pg.9 "With the continued expansion
in urban habitats, population rise, changes in means of climate parameters will intensify the stresses faced by poor urban residents on a daily basis impacting in a reduction or depletion of their stocks, assets and resources
required to face occasional extreme events."
Pg.10 "Among Sikkim's four districts (East, West,
North, and South), some areas of the East district have been put on the priority list because of an increase in cases of illnesses that are exacerbated by the climate."
Pg.10 "Priority Districts"
Pg.10 "After East district the South district follows to be the priority district in
terms of the increasing temperature and heavy vehicular movements."
Pg.11 "Some risk prone districts are the North and
some parts of the West district."
Pg.27 "PRIORITY
DISTRICTS"
Pg.29 "Priority Districts" 
Pg.30 "vulnerable groups: police officers, outdoor works, women, children"
"</t>
  </si>
  <si>
    <t>Pg.5 "Drought vulnerability"
Pg.5 "Coastal Vulnerability"
Pg.5 "Flood vulnerability"
Pg.5 "Heat Wave vulnerability"
Pg.5 "Vector and Zoonotic Disease vulnerability"
Pg.7 "Air Pollution Vulnerability"
Pg.7 "Vulnerable Populations"
Pg.17 "AQI"
Pg.17 "Vulnerable Population"
Pg.24 "PRIORITY DISTRICTS"
Pg.24 "VULNERABLE POPULATION"
Pg.65 "Vulnerable population"</t>
  </si>
  <si>
    <t>Pg.9 "List of Hotspot Districts and their Vulnerability Indices in Telangana"
Pg.12 "The World Bank study confirmed that the districts of Karimnagar and Ranga Reddy have the highest proportion of population exposed to water contamination."
Pg.12 "Semi-arid regions of Hyderabad, Khammam, Bhadradri, Mahebunagar,
Rangareddy, Mulugu, Kumurambheem, and Nalgonda districts have a greater incidence of vector-borne diseases compared with other parts of the state."
Pg.14 "Khammam, Hyderabad, and Nizamabad district accounts for about 95% chikungunya cases recorded in Telangana."
Pg.27 "Priority City/District for Air Pollution Surveillance as per above AQI"
Pg.34 "5 Non-Attainment Cities identified under National Clean Air Programme (2018)"
Pg.52 "Situational analysis of VBD in Telangana"
Pg.64 "Flood/Drought/Cyclone Hotspots"
g.47 "Vulnerable population group such as women/ children/ elderly/
different type occupations"
Pg.50 "Vulnerable groups: police officers, outdoor works, women, children etc"
Pg.56 "Target population"
Pg.66 "Vulnerable groups (primarily children, women, older adults, traffic police, outdoor
workers/vendors)"</t>
  </si>
  <si>
    <t xml:space="preserve">Page no. 12 "Vulnerable areas / population"
Page no. 15 There are also increased risks to human health with
children, women (especially the pregnant) and the elderly in a household becoming the
most vulnerable due to lower nutritional status and enhanced air and water pollution
</t>
  </si>
  <si>
    <t>Page no. 5 "Some districts like Bareilly, Budaun, Sonbhadra, Mirzapur, and Hardoi report a large number of Malaria cases annually, whereas the districts of eastern Uttar Pradesh are prone to outbreaks of Japanese encephalitis and Acute Encephalitis Syndrome (AES)."
Page no.7 "Maximum Contribution Districts"
Page no.7 "Maximum Contribution Districts"
Page no. 12 "Uttar Pradesh is highly vulnerable to flooding. Increasing instances of localized heavy rainfall
interspersed with dry spells and changing monsoon patterns due to climate change is increasing
incidents of such extreme weather events and concurrent flash floods, riverine and urban flooding.
All major rivers in Uttar Pradesh pass through a wide stretch of very flat terrain. These flat lowlands
of lower river basins are prone to flooding. Cities like Lakhimpur Kheri, Behraich, Gonda, Sitapur,
and Barabanki, located on the flat alluvial plains of large rivers have reported massive flooding in
past years after heavy rainfalls."
Page no. 13 "Major Flood-Affected Districts in Uttar Pradesh"
Page no. 15 "Uttar Pradesh - Hot Spots"
Page no. 38 "Major Vector Borne disease in the state"</t>
  </si>
  <si>
    <t>Page no. 5 "Vulnerable Population"
Page no. 22 "5 districts are more sensitive for climate change-related illnesses i.e. Dehradun, Haridwar, Udham Singh Nagar, Nainital, and Pauri which are considered as plain/mid plain areas."</t>
  </si>
  <si>
    <t>Page no. 5 "The districts of North 24 Parganas, South 24 Parganas, and Purba
Medinipur have a high population density and are situated on the coast due to which they are vulnerable
to extreme weather events like cyclones and flooding."
Page no. 41 "In West Bengal, the Sunderbans area has been hit hard by heatwaves in addition to Bankura,
Birbhum, and Purulia district western part."
Page no. 45 "Target population: Urban and highly dense or overcrowded spaces, people living in dry/drought-prone areas. Occupationally vulnerable groups including mine workers, laborers, field workers, traffic police, street children, etc. as well as the extremely aged group with co-morbidities."
Page no. 63 "Several other Districts e.g. Howrah, Malda,
Murshidabad, South 24 Parganas, etc. have been showing a relatively higher TPR with respect to other districts during the last 3 years"
Page no. 74 "The north Bengal Districts of Jalpaiguri, Alipurduar, and Coochbehar that fall in the Dooars region are affected by rivers going into spate due to heavy showers in the hills. The districts on the western side of the state e.g. Bankura, Paschim Bardhaman, Purba Bardhaman, Birbhum, etc.are affected by heavy rainfall at the upstream of the Damodar Valley. Districts like Malda, Murshidabad, Nadia, Purba Bardhaman, etc. through which the Ganges/ Hooghly River flows, witness floods due to the overflowing of Hooghly or its tributaries."</t>
  </si>
  <si>
    <r>
      <rPr>
        <rFont val="Arial"/>
        <b/>
        <color theme="1"/>
        <sz val="11.0"/>
      </rPr>
      <t>Comprehensive</t>
    </r>
    <r>
      <rPr>
        <rFont val="Arial"/>
        <b/>
        <color theme="1"/>
        <sz val="11.0"/>
      </rPr>
      <t xml:space="preserve"> adaptation </t>
    </r>
    <r>
      <rPr>
        <rFont val="Arial"/>
        <b/>
        <color theme="1"/>
        <sz val="11.0"/>
      </rPr>
      <t>options to address climate-sensitive health risks</t>
    </r>
  </si>
  <si>
    <t xml:space="preserve">Page no. 30 "Health Adaptation Plan for Air Pollution"
Page no. 38 "Health Adaptation Plan for Heat"
Page no. 44 "Health Adaptation Plan for Vector-Borne Disease"
Page no. 50 "Green and Climate-Resilient Infrastructure"
Page no. 57 "Health Adaptation Plan for Disaster and Extreme Weather Events"
</t>
  </si>
  <si>
    <t>Pg.34 "All districts have been requested to undertake different activities to reduce impact of air pollution."</t>
  </si>
  <si>
    <t>Page no. 30 "Health Adaptation Plan on Air Pollution
Related Illnesses"
Page no. 43 "State Health Adaptation Plan for Heat Related Illnesses"
Page no. 54 "HEALTH ADAPTATION PLAN FOR VECTOR BORNE DISEASES"
Page no. 63 "Health Adaptation Plan for Climate Resilient Healthcare facilities"
Page no. 68 "Health Action plan on Disaster management"</t>
  </si>
  <si>
    <t xml:space="preserve">Page no. 29 "Health Adaptation Plan for Acute Respiratory Illnesses attributed to Air Pollution"
Page no. 38 "Health Adaptation Plan for Heat-related illness"
Page no. 43 "Vector Borne Diseases and Health adaptation plan"
Page no. 50 "Health Adaptation Plan for Green and Climate Resilient Healthcare Facilities"
Page no. 58 "Health Adaptation Plan for Extreme Weather Events and Disaster Management"
Page no. 84 "Water Borne Diseases
and Health adaptation plan"
</t>
  </si>
  <si>
    <t>Pg.50 "Roles and Responsibilities of other sectors (Air Pollution)"
Pg.53 "Roles and Responsibilities of other sectors (HEAT)"</t>
  </si>
  <si>
    <t>Page no. 23 "Health Adaptation Plan for Acute Respiratory Illnesses attributed to Air Pollution"
Page no. 33 "HEALTH ADAPTATION PLAN FOR HEAT-RELATED ILLNESS"
Page no. 39 "HEALTH ADAPTATION PLAN FOR VECTOR BORNE DISEASES"
Page no. 44 "HEALTH ADAPTATION PLAN FOR DISASTER AND 
EXTREME WEATHER EVENTS"
Page no. 50 "HEALTH ADAPTATION PLAN FOR GREEN AND
CLIMATE RESILIENT HEALTHCARE FACILITIES"</t>
  </si>
  <si>
    <t>Page no. 22 "Health Action Plan on Air Pollution Related Diseases"
Pge bo. 38 "Health Action Plan for Vector-Borne Diseases (VBD) in the context of Climate Change"
Page 30. "7: Health Action Plan on Heat and Health"
PAge. 46 "Health Action Plan on Extreme Weather Events and its Health Impacts"
Page no. 54 "Health Action Plan on Green (Environmentally friendly, sustainable) and Climate-Resilient Infrastructure"</t>
  </si>
  <si>
    <t>Page no. 26 "Health Adaptation Plan for Green and Climate Resilient Healthcare Facilities"
Page no. 32 "Health Adaptation Plan for Acute Respiratory Illnesses attributed to Air Pollution"
Page no. 44 "Health Adaptation Plan for Heat-related illness"
Page no. 51 "Health Adaptation Plan for Vector-Borne diseases"
Page no. 56 "Health Adaptation Plan for Disaster and Extreme Weather Events"</t>
  </si>
  <si>
    <t>Page no. 29 "Health Adaptation Plan for Air Pollution and Acute Respiratory Illness"
Page no.41 "Health Adaptation Plan for Heat-Related Illness"
Page no. 58 "Health Adaptation Plan for Vector-Borne Diseases"
Page no. 74 "Health Adaptation Plan for Extreme Weather Events and Disaster Management"
Page no. 81 "Health adaptation plan for Green and Climate Resilient Healthcare System"</t>
  </si>
  <si>
    <t>Pg.50 "Chapter 11"</t>
  </si>
  <si>
    <t>Pg.40 "IEC dissemination plan for 5 years"
Pg.41 "Schedule training plan for 5 years"
Pg.49 "IEC dissemnination plan"
Pg.50 "Schedule training plan for 5 years"
Pg.64 "Health sector preparedness for 5 years"
Pg.88 "Long Term Matrix of Adapatation Plan of Chhattisgarh SAPCCHH</t>
  </si>
  <si>
    <t>Page no. 32 "IEC DISSEMINATION PLAN"
Page no. 33 "Training / Sensitization Workshop Plan For 5 Years (2022-27)"
Page no. 35 "Summary of Five-Year Health Adaptation Plan for Air Pollution"
Page no. 39 "IEC DISSEMINATION PLAN"
Page no. 39 "Training / Sensitization Workshop Plan For 5 Years (2022-27)"
Page no. 55 "Summary of Five-Year Health Adaptation Plan Green and Climate Resilient Infrastructure"</t>
  </si>
  <si>
    <t>Pg.30 "Annual IEC dissemination plan"
Pg.41 "Plan for IEC dissemination on Heat for 5 years"
Pg.43 "Schedule of training for the next 5 years"
Pg.55 "HEALTH SECTOR PREPAREDNESS"
Pg.56 "IEC DISSEMINATION PLAN"
Pg.58 Chapter 11 - Budget: Targets"</t>
  </si>
  <si>
    <t>Pg.43 "Plan of implementation of green measures in healthcare facilities 2022-2027, NPCCHH, Gujarat"</t>
  </si>
  <si>
    <t>Pg.30 "Activity Plan of implementation of green measures in healthcare facilities 2022-2027"
Pg.36 "IEC Plan""
Pg.37 "Dissemination Plan for 5 years"
Pg.53 "IEC Plan"
Pg.54 "Dissemination Plan for 5 years"
Pg.61 "IEC DISSEMINATION PLAN"</t>
  </si>
  <si>
    <t>Pg.25 "IEC DISSEMINATION PLAN FOR 5 YEARS 22-27"
Pg.39 "IEC dissemination plan"
Pg. 62 "HEALTH SECTOR PREPAREDNESS FOR 5 YEARS 22-27"</t>
  </si>
  <si>
    <t>Pg.19 "Health Hazards Possible Adaptation action"
Pg.30 "Dissemination plan of IEC on Air pollution"
Pg.40 "Dissemination
Plan for 5years
(2022-27)"
Pg.41 "Pg.41 "2: Schedule of training for 5 years (2022-2027)""
Pg.62 "HEALTH SECTOR PREPAREDNESS"
Pg.63 "Pg.63 "IEC DISSEMINATION PLAN""</t>
  </si>
  <si>
    <t>Pg.24 "IEC Plan for next five years"
Pg.38 "IEC dissemination targets for next five years"
Pg.54 "Green &amp; Climate Resilient Healthcare Infrastructure"
Pg.55 "Targets for next 5 year"</t>
  </si>
  <si>
    <t>Page no. 36 "Detailed IEC and Dissemination Plan"
Page no. 37 "Capacity building"
Page no. 51 "Detailed IEC and Dissemination Plan"
Page no. 53 "Capacity building"
Page no. 61 "Detailed IEC and Dissemination Plan"
Page no, 62 "Capacity building"
Page no. 66 "Green &amp; Climate Resilient Healthcare Infrastructure"</t>
  </si>
  <si>
    <t xml:space="preserve">Pg.37 "ADAPTATION PLAN"
Pg.38 "CAPACITY BUILDING"
Pg.47 "AWARENESS"
Pg.48 "CAPACITY BUILDING"
Pg.56 "CAPACITY BUILDING"
Pg.63 "IEC DISSEMINATION PLAN"
Pg.63 "CAPACITY BUILDING"
</t>
  </si>
  <si>
    <t>Page no. 32 "Tentative Budget for Next 5 years 2022-2027"
Page no. 33 "PLAN FOR TRAINING FOR 5 YEARS 22-27"
Page no. 38 "IEC Dissemination Plan"
Page no. 39 "SCHEDULE PLAN FOR TRAINING FOR 2022-27"
Page no. 55 "HEALTH SECTOR PREPAREDNESS FOR 2022-27"</t>
  </si>
  <si>
    <t>Pg.33 "IEC Plan for next five years"
Pg.34 "Dissemination Plan
for 5 (Years)"
Pg.49 "IEC Plan for next five years"
Pg.50 "Dissemination Plan"
Pg.81 "Plan of implementation of green measures in healthcare facilities 2022-2027"</t>
  </si>
  <si>
    <t>Pg.23 "IEC Campaign"
Pg.32 "Budget (in lakhs) for 5 years with 15% increment"
Pg.47 "Health Sector preparedness in the next 5 years (2022-2027)"
Pg.50 "Budget"</t>
  </si>
  <si>
    <t>Pg.24 "IEC DISSEMINATION PLAN FOR 5 YEARS 22-27"
Pg.25 "SCHEDULE PLAN FOR TRAINING FOR 5 YEARS 22-27"
Pg.40 "Plan of implementation of green measures in healthcare facilities 2022-2027,
NPCCHH"
Pg.58 "IEC dissemination plan"
Pg.58 "SCHEDULE PLAN FOR TRAINING FOR 5 YEARS 22-27"</t>
  </si>
  <si>
    <t>Pg.55 "Plan of implementation of Green Measures in Healthcare Facilities 2022-
2027, NPCCHH, Mizoram"</t>
  </si>
  <si>
    <t>Pg.24 "Dissemination plan for 5 years"
Pg.26 "Schedule plan for training for 5 years 22-27"
Pg.29 "Timeline for the activities"
Pg.52 "HEALTH SECTOR PREPAREDNESS FOR 5 YEARS 22-27"</t>
  </si>
  <si>
    <t>Pg.31 "IEC DISSEMINATION PLAN FOR 5 YEARS (22-27)"
Pg.32 "SCHEDULE PLAN FOR TRAINING FOR 5 YEARS 22-27"
Pg.44 "IEC DISSEMINATION PLAN FOR 5 YEARS 2022-27"
Pg.45 "SCHEDULE PLAN FOR TRAININGFOR 5 YEARS 2022-27"
Pg.53 "CAPACITY BUILDING"
Pg.58"IMPLEMENTATION PLAN"
Pg.59 "IEC DISSEMINATION PLAN"
Pg.59 "CAPACITY BUILDING"</t>
  </si>
  <si>
    <t>Pg.28 "Five Year vision for the ARI surveillance and awareness in the State of Punjab (2022- 2027)"
Pg.40 "Five year vision for Heat Adaptation plan in Punjab (2022-2027)"
Pg.55 "Five year vision under Adaptation plan on Disaster management"
Pg.67 "Five-year vision for Developing green and climate resilient health facilities in Punjab"</t>
  </si>
  <si>
    <t>Pg.48 "Plan of implementation of green measures in healthcare facilities 2022-2027, NPCCHH, Rajasthan"</t>
  </si>
  <si>
    <t>Pg.27 "IEC DISSEMINATION PLAN FOR 5 YEARS 22-27" 
Pg.29 "SCHEDULE PLAN FOR TRAININGFOR 5 YEARS 22-27"
Pg.39 "IEC dissemination plan"
Pg.40 "SCHEDULE PLAN FOR TRAINING"
Pg.52 "IMPLEMENTATION PLAN"</t>
  </si>
  <si>
    <t>Pg.44 "HEALTH SECTOR PREPAREDNESS FOR 5 YEARS 22-27"</t>
  </si>
  <si>
    <t>Pg.30 "IEC DISSEMINATION PLAN FOR 5 YEARS 22-27"
Pg.34 "SCHEDULE PLAN FOR TRAININGFOR 5 YEARS 22-27"
Pg.42 "IEC dissemination plan"
Pg.57 "Dissemination of IEC material"
Pg.58 "Capacity Building Activities"
Pg.66 "Annual IEC dissemination plan for extreme weather events and their health
impact"
Pg.68 "Capacity Building Activities"
Pg.75 "HEALTH SECTOR PREPAREDNESS FOR 5 YEARS 22-27"
Pg.76 "DISSEMINATION OF IEC MATERIAL FOR 5 YEARS 22-27
Pg.76 "CAPACITY BUILDING"
Pg.79 "Budget"</t>
  </si>
  <si>
    <t>Page no. 27 "IEC DISSEMINATION PLAN"
Page no 29 "Training / Sensitization Workshop Plan For 5 Years (2022-27)"
Page no. 35 "IEC DISSEMINATION PLAN"
Page no. 54 "Activity plan"</t>
  </si>
  <si>
    <t>Page no. 60 "Plan of implementation of green measures in healthcare facilities 2022-2027"</t>
  </si>
  <si>
    <t xml:space="preserve">Page no. 29 "Activity plan"
Page no. 35 "IEC DISSEMINATION PLAN"
Page no. 37 "Training / Sensitization Workshop Plan For 5 Years (2022-27)"
Page no. 46 "IEC DISSEMINATION PLAN"
Page no. 71 "Activity Matrix"
</t>
  </si>
  <si>
    <t>Page no. 34 "IEC DISSEMINATION PLAN FOR 5 YEARS 22-27"
Page no. 35 "SCHEDULE PLAN FOR TRAINING FOR 5 YEARS 22-27"
Page no. 46 "IEC dissemination plan"
Page no. 47 "SCHEDULE PLAN FOR TRAINING"
Page no. 87 "HEALTH SECTOR PREPAREDNESS FOR 5 YEARS 22-27"</t>
  </si>
  <si>
    <t>1. Does the HNAP consider different vulnerable populations (based on factors given on the left) to prioritize climate-sensitive health risks and adaptation actions? (Score the secondary criteria based on this single question)</t>
  </si>
  <si>
    <t>Pg.26 "Targeted awareness sessions: traffic
police, schools, women, children"
Pg.33 "Conduct sensitization of vulnerable groups: police officers, outdoor works, women, children etc"</t>
  </si>
  <si>
    <t>Pg.30 "Organize training of vulnerable groups: police officers, outdoor works, women, children"
Pg.36 "Dissemination of materials in slum communities" : Socio-economic
Pg.36 "Modify worker hours to avoid heat of day": Demographic
Pg.40 "Vaccination of animals and animal handlers for vaccine preventable diseases." : Demographic
Pg.47  "Community level training: vulnerable population group such as women/ children/elderly/ different type occupations"</t>
  </si>
  <si>
    <t>Pg.32. Target places will be three non-attainment districts in the state—Patna, Muzzafarpur and Gaya.
Pg.32 "Target population will be vulnerable groups including elderly population, under-five children, pregnant women and people with other comorbidities including respiratory illnesses, cardiac problems etc. and outdoor workers"
Pg.33 Women, Children, Traffic Police, Municipal Worker Training manuals
Pg.36 "Target population will be vulnerable groups including elderly population, under-five children,
pregnant women and people with other comorbidities including respiratory illnesses, cardiac
problems etc. and outdoor workers 
Pg.36 "Target places will be heat vulnerable districts in the southern part of the state— Gaya,
Nawada, Aurangabad, Kaimur, Rohtas"
Pg.39 "Women, Children, Traffic Police, Municipal Worker Training manuals"
Pg.43 "Vulnerable group (Primarily children, pregnant woman, older adult, immune compromised,
outdoor workers / Vendors)"</t>
  </si>
  <si>
    <t>Pg.39 "Street plays in low-income communities"
Pg.40 "IEC DISSEMINATION PLAN: Priority districts"
Pg.41 "Training plan: priority districts
Pg.44 "Organize training of vulnerable groups: police officers, outdoor works,
women, children"
Pg.49 "IEC DISSEMINATION PLAN: Priority districts"
Pg.50 "Training plan: priority districts
Pg.52 "Conduct sensitization of vulnerable groups: police officers, outdoor works,
women, children etc"</t>
  </si>
  <si>
    <t>Pg.22 "Target population"
Pg.25 "Conduct training of vulnerable groups: police officers, outdoor works, women, children"
Pg 27. "Target population"
Pg.33 "Vulnerable groups (Primarily children, pregnant women, older adults, immunocompromised,
outdoor workers/vendors)"
Pg.37 "Vulnerable groups"</t>
  </si>
  <si>
    <t>Pg.29 "Target population"
Pg.33 " Women training manual, Children training manual, Traffic police training manual and Municipal workers training manual"
Pg.35 "Organize training of vulnerable groups: police officers, outdoor works, women, children"
Pg.39 "Vulneraiblity assessment for HRI" (Target groups)
Pg.44 "Conduct sensitization of vulnerable groups: police officers, outdoor workers, women, children, etc"
Pg.52 "Conduct sensitization of vulnerable groups: police officers, outdoor works, women, children etc"</t>
  </si>
  <si>
    <t>Pg.14 "Target population"
Pg.19 "Conduct training of vulnerable groups: police officers, outdoor works, women, children"
Pg.21 "Target population"
Pg.26 "Conduct sensitization of vulnerable groups: police officers, outdoor works, women, children etc"
Pg .29 "Target population"
Pg. 29 "Vulnerable groups (Primarily children, pregnant women, older adults, immunocompromised, outdoor workers/vendors)"
Pg.31 "Community level training: vulnerable population group such as women/ children/ elderly/different type occupations"</t>
  </si>
  <si>
    <t>Pg.53 "To increase general awareness among all the relevant stakeholders including people especially
vulnerable communities,"</t>
  </si>
  <si>
    <t>Pg.42 "Conduct sensitization of vulnerable groups: police officers, outdoor
workers, women, children etc."</t>
  </si>
  <si>
    <t>Pg.3 "Strengthening health of citizens of Jharkhand against climate sensitive illness, especially among the vulnerable like children, women and marginalized population."
Pg.31 "To train specific groups i.e. women, children, traffic police, and municipal workers on the impacts of air pollution on their health"</t>
  </si>
  <si>
    <t>Page no. 34 "Automated Air Quality Warning devices in all the
schools, offices, and other public buildings in the vulnerable areas"
Page no. 34 "Solar lighting options to rural areas and
urban slums"
Page no. 34 "Supply of cleaner fuels, stoves to rural areas
and urban slums"
Page no. 34 "Street plays in low-income
communities"
Page no. 40 "Regular screening of school children for early detection of diseases, this can be attributed to the existing air pollution"
Page no. 41 "Expand new initiatives to increase the availability of LPG and other cleaner fuels to the rural &amp; tribal areas"
Page no. 41 "Advocate through Self Help Groups and Mahila Mandal for protection of women and children from significant exposure to smoke from biomass while inside the house."
Page no. 50 "Rescheduling school timing during summer"
Page no. 50 "Close teaching institutes in case of issue of alert from
Government"
Page no. 50 "Encourage employers to shift outdoor workers’ schedules away from peak afternoon hours (1 pm-5 pm) during a heat alert or consider extended afternoon break or alternate working hours for workers"
Page no. 58 "Vaccination of animals and animal handlers for vaccine preventable diseases."
Page no. 76 "Conduct sensitization of vulnerable groups: police officers, outdoor works, women, children etc"</t>
  </si>
  <si>
    <t>Pg.50 "Conduct sensitization of vulnerable groups, police
officers, outdoor works, women, children, etc."
Pg.71 "Conduct sensitization of vulnerable groups: police officers,
outdoor works, women, children, etc."</t>
  </si>
  <si>
    <t>Page no. 30 "Target population"</t>
  </si>
  <si>
    <t>Pg.2 "Adaptation plans will be required everywhere but must be prioritized now for the
most vulnerable population with fewer resources to cope with climate hazards."
Pg.33 "Conduct sensitization of vulnerable groups:"
Pg.37 "Conduct sensitization of vulnerable groups: police officers, outdoor workers, women, children, etc."</t>
  </si>
  <si>
    <t xml:space="preserve">Pg.28 "Organize training of vulnerable groups: police officers, outdoor workers, women, children"
Pg.47 "Conduct sensitization of vulnerable groups: police officers, outdoor workers, women, children, etc"
Pg.61 "Conduct sensitization of vulnerable groups: police officers, outdoor workers, women, children, etc"
</t>
  </si>
  <si>
    <t>Pg.34 "Establishing outreach clinics at various locations easily accessible to the vulnerable
population to reduce the number of cases affected."
Pg.40 "Conduct sensitization of vulnerable groups: police officers, outdoor
works, women, children etc"
Pg.47 "Target district/population"
Pg.51 "Conduct sensitization of vulnerable groups: police officers, outdoor workers,
women, children etc."</t>
  </si>
  <si>
    <t>Pg.32 "Target population"</t>
  </si>
  <si>
    <t>Pg.24 "Targeted awareness sessions: traffic police, schools, women, children"
Pg.27 "Organize training of vulnerable groups: police officers, outdoor works,women, children"
Pg.43 "Target population"
Pg.47 "Conduct sensitization of vulnerable groups: police officers, outdoor
works, women, children, etc."</t>
  </si>
  <si>
    <t>Pg.67 "Community level training"
Pg.71 "Conduct sensitization of vulnerable groups: police officers, outdoor works,
women, children, etc."
"</t>
  </si>
  <si>
    <t>Pg.30 "Conduct training of vulnerable groups: police officers, outdoor workers, women, children"</t>
  </si>
  <si>
    <t>Pg.18 "Target population"
Pg.20 "Training modules"
Pg.22 "Conduct training of vulnerable groups: police officers, outdoor works, women, children"
Pg.27 "Community level training: vulnerable population group such as women/ children/ elderly/different type occupations"
Pg.29 "Conduct sensitization of vulnerable groups: police officers, outdoor works, women, children etc"
Pg.32 "Target population"</t>
  </si>
  <si>
    <t>Pg.30 "Organize training of vulnerable groups: police officers, outdoor works, women, children"
Pg.35 "Sensitization of vulnerable groups: police officers, outdoor works, women, children etc"</t>
  </si>
  <si>
    <t>Pg.27 "Community level training: vulnerable population group such as women/ children/ elderly/ different type occupations"
Pg.30 "Conduct sensitization of vulnerable groups: police officers, outdoor works,
women, children etc"
Pg.34 "Community level training: vulnerable population group such as women/ children/ elderly/ different type occupations"
Pg.39 "Community level training: vulnerable population group such as women/ children/ elderly/ different type occupations"
Pg.41 "Conduct sensitization of vulnerable groups: police officers, outdoor works, women,
children etc"</t>
  </si>
  <si>
    <t xml:space="preserve">Pg.30 "Priority Districts"
Pg.32 "Targeted awareness sessions: traffic police, schools, women, children"
Pg.37 "Conduct training of vulnerable groups i.e. police officers, outdoor workers, women, children"
Pg.42 "Priority Districts"
Pg.47 "Community level training: vulnerable population group such as women/ children/ elderly/
different type occupations"
Pg.50 "Conduct sensitization of vulnerable groups: police officers, outdoor works, women, children etc"
Pg.56 "Target population"
Pg.66 "Vulnerable groups (primarily children, women, older adults, traffic police, outdoor
workers/vendors)"
Pg.67 "Priority Districts"
</t>
  </si>
  <si>
    <t>Psge no. 26 "Considerations for IEC tool development on air pollution and health"</t>
  </si>
  <si>
    <t>Page no. 23 "Target areas/population"
Page no. 28 "Conduct training of vulnerable groups: police officers, outdoor workers, women, children"
Page no. 31 "Target population"
Page no. 37 "Training for vulnerable groups"
Page no. 41 "Target population:"
Page no. 48 "Target population"
Page no. 50 "Community-level training: vulnerable population groups such as women/ children/
elderly/ different type occupations"
Page no. 56 "Ensure the plinth level is above the high flood level as known locally or storm surge level (in costal districts) and make the building accessible with ramps and railing to create a barrier free environment."</t>
  </si>
  <si>
    <t>Page no. 30 "Priority
districts" 
Page no. 35 "Hence, following considerations for IEC tool development on air pollution and health are recommended"</t>
  </si>
  <si>
    <t>Page no. 29 "Household air pollution: integration with GOI Project to supply cooking gas to BPL
families at a subsidized rate."
Page no. 30 "Regular screening of school children for early detection diseases, which can be
attributed to the existing air pollution"
Page no . 33 "Priority districts"
Page no. 46 "Priority districts"
Page no. 47 "Priority districts"
Page no. 55 "Distribution of cool roof jackets to on-duty traffic police personnel."
Page no. 56 "Identifying locations for building shelters and shades in urban areas. Shelter locations for the
urban poor and slum dwellers must be identified and constructed."
Page no. 57 "Conduct sensitization of vulnerable groups: police officers, outdoor workers, women, children, etc"
Page no. 71 "To arrange a small study to determine the cut-off OD-value for IgM ELISA positivity with reference to the local population."
Page no. 86 "In flood-prone areas, a new construction plan for health facilities ensures that the plinth level is specially raised. Raised walkways are constructed to connect different buildings
so that water logging due to rain does not hamper staff movement within the premises."</t>
  </si>
  <si>
    <t>Pg.47 General budget for health sector preparedness, awareness generation, and capacity building. (Pg.50 focus on heat and air pollution)</t>
  </si>
  <si>
    <t>Pg.27 Budget for IEC activities for air pollution
Pg.28 Budget for healthcare workers and authorities for air pollution
Pg.33 Budget for iEC for heat-related diseases
Pg.34 Budget for training for heat-related diseases
Pg.58, Pg. 61 contain the overall budgets for FY 2022-2024 and 2024-2029 for infrastructure, capacity-building and IEC</t>
  </si>
  <si>
    <t>Pg.46 "Budget"</t>
  </si>
  <si>
    <t>Pg.58 "Budget"</t>
  </si>
  <si>
    <t>Pg.40 "IEC dissemination plan for 5 years"
Pg.41 "Schedule training plan for 5 years"
Pg.49 "IEC dissemnination plan"
Pg.50 "Schedule training plan for 5 years"
Pg.76 "Budget"</t>
  </si>
  <si>
    <t>Page no. 66 "Budget and Finance"</t>
  </si>
  <si>
    <t>Pg.45 "Budget"</t>
  </si>
  <si>
    <t>Pg.31 "Budget for IEC dissemination with YoY increase"
Pg.42 "Budget for IEC dissemination with YoY increase"
Pg.43 "Budget of training for next 5 years"
Pg.55 "HEALTH SECTOR PREPAREDNESS"
Pg.56 "IEC DISSEMINATION PLAN"</t>
  </si>
  <si>
    <t>Pg.45 "Budget for NPCCHH, Gujarat"</t>
  </si>
  <si>
    <t>Pg.30 "Activity Plan of implementation of green measures in healthcare facilities 2022-2027"
Pg.37 "Dissemination Plan for 5 years"
Pg.41 "Budget"
Pg.54 "Dissemination Plan for 5 years" 
Pg.56 "Budget"
Pg.61 "IEC DISSEMINATION PLAN"
Pg.69 "Budget"
Pg.73 "NPCCHH Budget"</t>
  </si>
  <si>
    <t>Pg.25 "IEC DISSEMINATION PLAN FOR 5 YEARS 22-27"
Pg.26 "SCHEDULE PLAN FOR TRAINING FOR 5 YEARS 22-27"
Pg.39 "IEC dissemination plan"
Pg.62 "HEALTH SECTOR PREPAREDNESS FOR 5 YEARS 22-27"
Pg.64 "SAPCCHH: BUDGET (PIP FOR THE YEAR 2022-23) J&amp;K"
Pg.65 "BUDGET
"</t>
  </si>
  <si>
    <t>Pg.30 "Dissemination plan of IEC on Air pollution"
Pg.40 "Dissemination
Plan for 5years
(2022-27)"
Pg.41 "2: Schedule of training for 5 years (2022-2027)"
Pg.62 "HEALTH SECTOR PREPAREDNESS"
Pg.63 "IEC DISSEMINATION PLAN"
Pg.66 "Part III: Budget"</t>
  </si>
  <si>
    <t>Pg.54 "Green &amp; Climate Resilient Healthcare Infrastructure"
Pg.66 "BUDGET"</t>
  </si>
  <si>
    <t>Page no. 77 "Budget NPCCHH Kerala, 2022-27"</t>
  </si>
  <si>
    <t>Pg.37 "ADAPTATION PLAN"
Pg.38 "CAPACITY BUILDING"
Pg.47 "AWARENESS"
Pg.48 "CAPACITY BUILDING"
Pg.56 "CAPACITY BUILDING"
Pg.63 "IEC DISSEMINATION PLAN"
Pg.63 "CAPACITY BUILDING"
Pg.73 "BUDGET"</t>
  </si>
  <si>
    <t>Page no. 63 "Budget"</t>
  </si>
  <si>
    <t>Pg.34 "Pg.34 "Dissemination Plan for 5 (Years)""
Pg.36 "Budget"
Pg.50 "Dissemination Plan"
Pg.52 "Budget"
Pg.57 "Budget"
Pg.81 "Budget"
Pg.82 "Budget"</t>
  </si>
  <si>
    <t>Pg.23 "IEC Campaign"
Pg.32 "Pg.32 "Budget (in lakhs) for 5 years with 15% increment""
Pg.47 "Health Sector preparedness in the next 5 years (2022-2027)"
Pg.50 "Budget"</t>
  </si>
  <si>
    <t>Pg.24 "IEC DISSEMINATION PLAN FOR 5 YEARS 22-27"
Pg.25 "SCHEDULE PLAN FOR TRAINING FOR 5 YEARS 22-27"
Pg.58 "IEC dissemination plan"
Pg.58 "SCHEDULE PLAN FOR TRAINING FOR 5 YEARS 22-27"
Pg.64 "Budget for 5 years"</t>
  </si>
  <si>
    <t>Pg.58 "Budget for NPCCHH, Mizoram"</t>
  </si>
  <si>
    <t>Pg.58 "Budget for NPCCHH"</t>
  </si>
  <si>
    <t>Pg.52 "HEALTH SECTOR PREPAREDNESS FOR 5 YEARS 22-27"
Pg.55 "Budget for 5 years:"</t>
  </si>
  <si>
    <t>Pg.31 "IEC DISSEMINATION PLAN FOR 5 YEARS (22-27)"
Pg.32 "SCHEDULE PLAN FOR TRAINING FOR 5 YEARS 22-27"
Pg.44 "IEC DISSEMINATION PLAN FOR 5 YEARS 2022-27"
Pg.45 "SCHEDULE PLAN FOR TRAININGFOR 5 YEARS 2022-27"
Pg.53 "CAPACITY BUILDING"
Pg.58 "IMPLEMENTATION PLAN"
Pg.59 "IEC DISSEMINATION PLAN"
Pg.59 "CAPACITY BUILDING"
Pg.72 "Budget"</t>
  </si>
  <si>
    <t>Pg.23 "Budget"
Pg.35 "Budget"
Pg.62 "Cost/facility"
Pg.65 "District wise plan for implementation of greening in Public health facilities in Punjab for year 2022-2023"
Pg.67 "Budget Proposal for next 5 years under NPCCHH programme"</t>
  </si>
  <si>
    <t>Pg.50 "Budget for NPCCHH, Rajasthan"</t>
  </si>
  <si>
    <t>Pg.27 "IEC DISSEMINATION PLAN FOR 5 YEARS 22-27"
Pg.29 "SCHEDULE PLAN FOR TRAININGFOR 5 YEARS 22-27"
Pg.39 "IEC dissemination plan"
Pg.40 "SCHEDULE PLAN FOR TRAINING"
Pg.52 "IMPLEMENTATION PLAN:"
Pg.55 "BUDGET"</t>
  </si>
  <si>
    <t>Pg.47 "Budget NPCCHH 2022-27"</t>
  </si>
  <si>
    <t>Pg.30 "IEC DISSEMINATION PLAN FOR 5 YEARS 22-27"
Pg.34 "SCHEDULE PLAN FOR TRAININGFOR 5 YEARS 22-27"
Pg.42 "IEC dissemination plan"
Pg.47 "Training plan"
Pg.57 "Dissemination of IEC material"
Pg.58 "Capacity Building Activities"
Pg.66 "Annual IEC dissemination plan for extreme weather events and their health
impact"
Pg.68 "Capacity Building Activities"
Pg.75 "HEALTH SECTOR PREPAREDNESS FOR 5 YEARS 22-27" 
Pg.76 "DISSEMINATION OF IEC MATERIAL FOR 5 YEARS 22-27"
Pg.76 "CAPACITY BUILDING"
Pg.79 "Budget"</t>
  </si>
  <si>
    <t>Page no. 58 "BUDGET"</t>
  </si>
  <si>
    <t>Page no. 63 "Proposed budget for implementation of NPCCHH activities during 2022-24, UP"</t>
  </si>
  <si>
    <t>Page no. 61 "Budget"
Page no. 61 "Cumulative IEC Budget"</t>
  </si>
  <si>
    <t>Page no. 92 "Budget"</t>
  </si>
  <si>
    <t>Pg.26 "To strengthen the capacity of the healthcare system to adapt/address illnesses/ diseases due to impacts of air pollution, the following capacity building and training programme will be deployed by the state."
Pg.32 "Capacity Building"
Pg.42 "Capacity Building"
Pg.48 "Capacity Building"</t>
  </si>
  <si>
    <t>Pg.27 "Capacity building"
Pg.27 "NPCCHH Training Plan at the State Level"
Pg.27 "Recommended schedule of training for 5 years (2022-2027)"
Pg. 34 "The capacity-building plan"
Pg.34 "Schedule of training for 5 years (2022-2027)
Pg.42 "Training calendar is proposed for the months of April to June. Refresher
trainings will be planned and conducted in April each year."
Pg.47 "Capacity Building will be initiated under this component based on the guidelines
developed under the National Action Plan on Disaster related Health Issues." 
Pg.56 "Capacity Building"</t>
  </si>
  <si>
    <t>Pg. 26 "Capacity Building Activities
"
Pg.30 "Capacity Building Activities"
Pg.35 "Capacity Building"
Pg.38 "CapacityBuilding Activities"
Pg.41 "Capacitybuilding"</t>
  </si>
  <si>
    <t>Pg.33 "Capacity Building Activities"
Pg.34 "Training regarding surveillance of acute &amp; chronic respiratory cases and documentation will
be provided to key officials in each identified sentinel site by the state team"
Pg.38 "Capacity Building Activities"
Pg.40 "Surveillance training"
Pg.44 "Annual training plan for vector-borne diseases"
Pg.49 :"Surveillance training"
Pg.51 "Capacity building activities"
Pg.52 "Surveillance training"
Pg.54 "Capacity building"</t>
  </si>
  <si>
    <t>Pg.40 "Capacity Building"
Pg.50 "Capacity building"
Pg.54 "Capacity building
Pg.75 "Capacity building"</t>
  </si>
  <si>
    <t>Page no. 32 "Capacity Building"
Page no. 39 "Capacity Building"
Page no. 48 "Capacity Building"
Page no. 64 "Capacity Building"</t>
  </si>
  <si>
    <t>Pg.23 "Capacity Building Activities"
Pg.28 "Capacity Building Activities"
Pg.34 "Capacity Building Activities"
Pg.38 "Capacity Building Activities"
Pg.42 "Capacity building"</t>
  </si>
  <si>
    <t>Pg.32 "Capacity building"
Pg.42 "Capacity building"
Pg.47 "Capacity Building"
Pg.50 "Capacity Building"
Pg.57 "CAPACITY BUILDING"</t>
  </si>
  <si>
    <t>Pg.16 "Capacity Building Activities"
Pg.23 "Capacity Building Activities"
Pg.30 "Capacity Building Activities"
Pg.37 "Capacity Building Activities"
Pg.41 "Capacity building"</t>
  </si>
  <si>
    <t xml:space="preserve">Pg.30 "Capacity Building"
Pg.39 "Capacity Building
Pg.56 "Capacity Building"
Pg.62 "CAPACITY BUILDING"
Pg.68 "Capacity Building"
</t>
  </si>
  <si>
    <t>Pg.25 "Capacity Building"
Pg.40 "CAPACITY BUILDING" 
Pg.47 "Capacity Building" 
Pg.53 "Capacity Building"
Pg.63 "CAPACITY BUILDING"</t>
  </si>
  <si>
    <t>Pg.31 "Capacity building"
Pg.41 "2: Schedule of training for 5 years (2022-2027)"
Pg.51 "Capacity building"
Pg.57 "Capacity building:"</t>
  </si>
  <si>
    <t>Pg.25 "Capacity Building"
Pg.45 "Capacity Building Activities"
Pg.55 "Capacity Building"
Pg.62 "CAPACITY BUILDING"</t>
  </si>
  <si>
    <t>Page no. 14 "Kerala Institute of Local Administration (KILA) gives the sensitizing programme onclimate change challenges to the Panchayat Raj Institution Members (PRIs) with the  support of UNDP"
Page no. 37 "Capacity building"
Page no. 53 "Capacity building"
Page no. 60 "Capacity Building."
Page no, 62 "Capacity building"
Page no. 74 "Capacity building"</t>
  </si>
  <si>
    <t>Pg.38 "CAPACITY BUILDING"
Pg.48 "CAPACITY BUILDING"
Pg.56 "CAPACITY BUILDING"
Pg.63 "CAPACITY BUILDING"
Pg.69 "CAPACITY BUILDING ACTIVITIES"</t>
  </si>
  <si>
    <t>Page no. 33 "CAPACITY BUILDING"
Page no. 39 "CAPACITY BUILDING"
Page no. 46 "CAPACITY BUILDING"</t>
  </si>
  <si>
    <t>Pg.35 "Capacity Building"
Pg.51 "Capacity Building"
Pg.57 "Capacity Building"
Pg.68 "Capacity Building"
Pg.79 "Capacity Building:"</t>
  </si>
  <si>
    <t xml:space="preserve">Pg.25 "Capacity Building"
Pg.32 "Capacity Building"
Pg.37 "Training on Disaster Management"
Pg.47 "CAPACITY BUILDING"
</t>
  </si>
  <si>
    <t>Pg.25 "SCHEDULE PLAN FOR TRAINING FOR 5 YEARS 22-27"
Pg.33 "CAPACITY BUILDING"
Pg.58 "SCHEDULE PLAN FOR TRAINING FOR 5 YEARS 22-27"</t>
  </si>
  <si>
    <t>Pg.30 "Capacity building"
Pg.36 "Capacity Building Activities"
Pg.43 "Capacity Building Activities"
Pg.49 "Capacity Building Activities"
Pg.53 "Capacity building"</t>
  </si>
  <si>
    <t>Pg.33 "Capacity Building Activities"
Pg.40 "Capacity Building Activities"
Pg.46 "Capacity Building"
Pg.51 "Capacity Building Activities"
Page no. 87 "CAPACITY BUILDING"</t>
  </si>
  <si>
    <t>Pg.26 "Capacity Building"
Pg.31 "Schedule plan for training"
Pg.39 "Capacity building"
Pg.44 "Capacity building"
Pg.51 "CAPACITY BUILDING"</t>
  </si>
  <si>
    <t>Pg.32 "Medical professional training"
Pg.45 "SCHEDULE PLAN FOR TRAININGFOR 5 YEARS 2022-27"
Pg.53 "CAPACITY BUILDING"
Pg.68 "Capacity Building Activities"</t>
  </si>
  <si>
    <t>Pg.36 "Training Calendar under NPCCHH for Heat Related Illnesses"
Pg.49 "Annual training plan for vector-borne diseases"</t>
  </si>
  <si>
    <t>Pg.19 "Capacity Building Activities"
Pg.26 "Capacity Building Activities"
Pg.33 "Capacity Building Activities"
Pg.39 "Capacity Building Activities"
Pg.47 "Capacity building"</t>
  </si>
  <si>
    <t>Pg.28 "CAPACITY BUILDING"
Pg.34 "CAPACITY BUILDING"
Pg.45 "CAPACITY BUILDING"</t>
  </si>
  <si>
    <t>Pg.22 "Capacity Building"
Pg/29 "Capacity Building"
Pg.39 "Capacity Building Activities"
Pg.45 "CAPACITY BUILDING"</t>
  </si>
  <si>
    <t>Pg.34 "SCHEDULE PLAN FOR TRAININGFOR 5 YEARS 22-27"
Pg.46 "CAPACITY BUILDING"
Pg.47 "Training plan"
Pg.58 "Capacity Building Activities"
Pg.68 "Capacity Building Activities"
Pg.76 "CAPACITY BUILDING"</t>
  </si>
  <si>
    <t>Page no. 28 "CAPACITY BUILDING"
Page no. 36 "CAPACITY BUILDING"
Page no. 41 "CAPACITY BUILDING"
Page no. 48 "CAPACITY BUILDING"</t>
  </si>
  <si>
    <t>Page no. 24 "Capacity Building Activities" 
Page no. 33 "Capacity Building Activities"
Page no. 43 "Capacity Building Activities"
Page no. 50 "Capacity Building Activities"
Page no. 57 "Capacity building"</t>
  </si>
  <si>
    <t>Page no. 36 "Capacity Building"
Page no. 47 "Capacity Building"
Page no. 58 "CAPACITY BUILDING"</t>
  </si>
  <si>
    <t>Page no. 34 "Capacity building"
Page no. 39 "Organize sensitization workshops for other stakeholders and line departments"
Page no. 47 "CAPACITY BUILDING"
Page no. 72 "Capacity Building"
Page no. 76 "Capacity building:"
Page no. 78 "Capacity Building"</t>
  </si>
  <si>
    <t>Page no. 41 "Analysis of the economic and financial implications of the health and other impacts of air pollution in the state"</t>
  </si>
  <si>
    <t>Pg.27 "Total annual welfare loss in terms of health damages due to air pollution causedby
burning of rice straw in rural Punjab amounts to 76 million."</t>
  </si>
  <si>
    <t>Pg.50 
"Chapter 11"</t>
  </si>
  <si>
    <t>Pg. 58-59</t>
  </si>
  <si>
    <t>Pg.58 "Monitoring Evaluation Checklist"</t>
  </si>
  <si>
    <t>Pg.64 "Target for five years"
Pg.76 "Target for five years"</t>
  </si>
  <si>
    <t>Page no. 54 "NPCCHH target for Green and Climate Resilient infrastructure"
Page no. 55 "Summary of Five-Year Health Adaptation Plan Green and Climate Resilient Infrastructure"</t>
  </si>
  <si>
    <t>Pg. 59 "Targets"</t>
  </si>
  <si>
    <t>Pg.60 "Quarterly Progress Report Format,"</t>
  </si>
  <si>
    <t>Pg.36 "IEC Plan"
Pg.53 "IEC Plan"
Pg.75 "Indicators"</t>
  </si>
  <si>
    <t>Pg.65-67 "Target"</t>
  </si>
  <si>
    <t>Pg.24 "IEC Plan for next five years"
Pg.38 "IEC dissemination targets for next five years"
Pg.54 "Green &amp; Climate Resilient Healthcare Infrastructure"
Pg.55 "Targets for next 5 year"</t>
  </si>
  <si>
    <t>Page no. 66 "Target"
Page no. 77 "Target for five years 22-27</t>
  </si>
  <si>
    <t>Page no. 55 "Target for 5 years 22 - 27"
Page no. 63 "TARGET for five years 22-27"</t>
  </si>
  <si>
    <t xml:space="preserve">Pg.33 "IEC Plan for next five years"
Pg.49 "IEC Plan for next five years"
Pg.82 "TARGET for five years 22-27"
</t>
  </si>
  <si>
    <t>Pg.25 "Indicator"
Pg.47 "Target "</t>
  </si>
  <si>
    <t>Pg.64 "TARGET for five years 22-27"</t>
  </si>
  <si>
    <t>Pg.55 "Target"
Pg. 80 "Quarterly Progress Report, NPCCHH"</t>
  </si>
  <si>
    <t>Pg.71 "Quarterly Progress Report Format, NPCCHH"</t>
  </si>
  <si>
    <t>Indicators mentioned however reporting requirements not specified just like other plans</t>
  </si>
  <si>
    <t>Pg.44 "Target for 5 years 22 - 27"</t>
  </si>
  <si>
    <t>Pg.79 "TARGET for five years 22-27"</t>
  </si>
  <si>
    <t>Page no. 55 "Target for 5 years 22 - 27"</t>
  </si>
  <si>
    <t>Page no. 64 "TARGET for five years 22-27"</t>
  </si>
  <si>
    <t>Page no. 30 "Target for 5 years 22 - 27"</t>
  </si>
  <si>
    <t>Page no. 93 "TARGET for five years 22-27"</t>
  </si>
  <si>
    <t>Plan for 2022-2027, so iteration period is 5 years</t>
  </si>
  <si>
    <t>Pg.35 "Action plan on Impact of Air pollution on Human Health will be developed by the DSO-CC in consultation with the SNO-CC. Review of the health action plan will be conducted by the State Task Force every year to evaluate the effectiveness of the proposed actions, target achieved and the progress."
Same as above for heat-related illnesses
Pg.49 "The section should be revised every year in collaboration with NVBDCP based on updated surveillance data, its analysis with weather parameter, prevention and control activities, targets achieved, and predicted climate variability with support from multi-sectoral task force"
Pg.52 "Same for VBDs"</t>
  </si>
  <si>
    <t>Page no. 41 "Participate in the annual evaluation of heat action plan"</t>
  </si>
  <si>
    <t>Pg.24 "The section should be revised every year"
Pg.30 "The section should be revised every year after July"
Pg.40 "The section should be revised every year after December"</t>
  </si>
  <si>
    <t>Pg 18 "The section should be revised every year after February"
Pg.24 "The section should be revised every year after July"
Pg.33 "The section should be revised every year after December in collaboration with NVBDCP"
Pg.38 "The section should be revised every year after December with support from coordinating agencies"</t>
  </si>
  <si>
    <t>Pg.47 "The section should be revised every year after December in collaboration with NVBDCP"</t>
  </si>
  <si>
    <t>Page no. 10 "SAPCCHH is a long-term vision and planning document prepared by the Department of Health &amp; Family Welfare, Kerala, applicable for up till year 2027."
Page no. 50 " Participate in the annual evaluation of heat action plan"</t>
  </si>
  <si>
    <t>Pg.17 "The State Action Plan on Climate change and Human Health,
prepared for Lakshadweep for five years i.e. 2022 to 2027 under
NPCCHH."</t>
  </si>
  <si>
    <t>Page no. 2 "The SAPCCHH
2022-27, for Madhya Pradesh"</t>
  </si>
  <si>
    <t>Pg.32 "section
should be revised every year after February"
Pg.38 "The section should be revised every year after July"
Pg.46 "The section should be revised every year after December"
Pg.50 "The section should be revised every year after December"</t>
  </si>
  <si>
    <t>Pg.42 "The section should be revised every year after July"
Pg.49 "The section should be revised every year after December in collaboration with NVBDCP"
Pg.53 "The section should be revised every year after December with support from coordinating agencies"</t>
  </si>
  <si>
    <t>Plan is for 5 years, self-explanatory?</t>
  </si>
  <si>
    <t>Pg.39 "The section should be revised every year after July"
Pg.50 "The section should be revised every year after December in collaboration with NVBDCP"
Pg.59 "The section should be revised every year after December"</t>
  </si>
  <si>
    <t>Pg.21 "The section should be revised every year after
February"
Pg.28 "The section should be revised every year after July"
Pg.35 "The section should be revised every year after December in collaboration with NVBDCP" 
Pg.35 "The section should be revised every year after December in collaboration with NVBDCP"
Pg.41 "The section should be revised every year after December with support from coordinating agencies"</t>
  </si>
  <si>
    <t>Pg.28 "The section should be revised every year after July"
Pg.36 "Pg.36 "The section should be revised every year after December in collaboration with NVBDCP""
Pg.40 "The section should be revised every year after December"</t>
  </si>
  <si>
    <t>Pg.49 "The section should be revised every year"
Pg.63 "The section should be revised every year"
Pg.70 "The section should be revised every year"</t>
  </si>
  <si>
    <t>Page no. 3 "This document is to support state planning and intervention measures under this programme for a
period of five years i.e. 2022-2027."
Page no. 27 "The section should be revised every year after
February based on targets achieved, surveillance data, climate change impacts, and health indicators with support from the multi-sectoral task force."
Page no. 34 "The section should be revised every year after July based on targets achieved, surveillance data, climate change impacts, and health indicators with support
from the multi-sectoral task force,"
Page no. 45 "The section should be revised every year after December in collaboration with NVBDCP"
Page no. 52 "The section should be revised every year after December with support from coordinating agencies based on updated surveillance data, its analysis with weather parameters, targets achieved, and predicted climate variability with support from multi-sectoral task force."</t>
  </si>
  <si>
    <t>Page no. 4 "SAPCCHH is a long-term vision and planning document prepared by the
Department of Health &amp; Family Welfare, Uttarakhand, applicable for up till year 2027."</t>
  </si>
  <si>
    <t>Pg 5, The SAPCCHH is a long-term vision and planning document prepared by the Department of Health &amp; Family Welfare, West Bengal, applicable up till the year 2027.</t>
  </si>
  <si>
    <t>Average grade (sum/11)</t>
  </si>
  <si>
    <t>Average score (sum/25*100)</t>
  </si>
  <si>
    <t>States</t>
  </si>
  <si>
    <t xml:space="preserve">Leadership and enabling environment                </t>
  </si>
  <si>
    <t xml:space="preserve">Cross-sectoral coordination and policy coherence        </t>
  </si>
  <si>
    <t xml:space="preserve">Comprehensive coverage of the climate-sensitive health risks                        </t>
  </si>
  <si>
    <t xml:space="preserve">Comprehensive coverage of adaptation options and actions                        </t>
  </si>
  <si>
    <t xml:space="preserve">Resourcing                         </t>
  </si>
  <si>
    <t xml:space="preserve">Monitoring, evaluation and reporting (MER)                        </t>
  </si>
  <si>
    <t>Average score</t>
  </si>
  <si>
    <t>SC1</t>
  </si>
  <si>
    <t>SC2</t>
  </si>
  <si>
    <t>Dadar-Nagar haveli &amp; Daman and Diu</t>
  </si>
  <si>
    <t>Telengana</t>
  </si>
  <si>
    <t>Table 2</t>
  </si>
  <si>
    <t>Total old raw score/25*100</t>
  </si>
  <si>
    <t>Total new raw score/25*100</t>
  </si>
  <si>
    <t>Plot percentage of increase and decrease</t>
  </si>
  <si>
    <t>NA</t>
  </si>
  <si>
    <t>Jammu</t>
  </si>
  <si>
    <t>Kashmir</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</si>
</sst>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Arial"/>
    </font>
    <font>
      <b/>
      <color theme="1"/>
      <name val="Arial"/>
      <scheme val="minor"/>
    </font>
    <font>
      <sz val="11.0"/>
      <color theme="1"/>
      <name val="Arial"/>
    </font>
    <font>
      <color theme="1"/>
      <name val="Arial"/>
      <scheme val="minor"/>
    </font>
    <font/>
    <font>
      <color theme="1"/>
      <name val="Arial"/>
    </font>
    <font>
      <b/>
      <sz val="12.0"/>
      <color theme="1"/>
      <name val="Arial"/>
    </font>
    <font>
      <b/>
      <color theme="1"/>
      <name val="Arial"/>
    </font>
    <font>
      <sz val="11.0"/>
      <color theme="1"/>
      <name val="Arial"/>
      <scheme val="minor"/>
    </font>
  </fonts>
  <fills count="10">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2CC"/>
        <bgColor rgb="FFFFF2CC"/>
      </patternFill>
    </fill>
    <fill>
      <patternFill patternType="solid">
        <fgColor rgb="FFB7B7B7"/>
        <bgColor rgb="FFB7B7B7"/>
      </patternFill>
    </fill>
    <fill>
      <patternFill patternType="solid">
        <fgColor rgb="FFFFFFFF"/>
        <bgColor rgb="FFFFFFFF"/>
      </patternFill>
    </fill>
    <fill>
      <patternFill patternType="solid">
        <fgColor rgb="FFF4CCCC"/>
        <bgColor rgb="FFF4CCCC"/>
      </patternFill>
    </fill>
    <fill>
      <patternFill patternType="solid">
        <fgColor rgb="FFEFEFEF"/>
        <bgColor rgb="FFEFEFEF"/>
      </patternFill>
    </fill>
    <fill>
      <patternFill patternType="solid">
        <fgColor rgb="FFEA9999"/>
        <bgColor rgb="FFEA9999"/>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bottom style="thin">
        <color rgb="FF000000"/>
      </bottom>
    </border>
    <border>
      <top style="thin">
        <color rgb="FF000000"/>
      </top>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3" fontId="1" numFmtId="0" xfId="0" applyAlignment="1" applyBorder="1" applyFill="1" applyFont="1">
      <alignment horizontal="center" shrinkToFit="0" vertical="top" wrapText="1"/>
    </xf>
    <xf borderId="1" fillId="4" fontId="1" numFmtId="0" xfId="0" applyAlignment="1" applyBorder="1" applyFill="1" applyFont="1">
      <alignment horizontal="center" readingOrder="0" shrinkToFit="0" vertical="top" wrapText="1"/>
    </xf>
    <xf borderId="1" fillId="0" fontId="2" numFmtId="0" xfId="0" applyAlignment="1" applyBorder="1" applyFont="1">
      <alignment readingOrder="0" shrinkToFit="0" wrapText="1"/>
    </xf>
    <xf borderId="2" fillId="2" fontId="1" numFmtId="0" xfId="0" applyAlignment="1" applyBorder="1" applyFont="1">
      <alignment horizontal="center" shrinkToFit="0" vertical="top" wrapText="1"/>
    </xf>
    <xf borderId="2" fillId="3" fontId="1" numFmtId="0" xfId="0" applyAlignment="1" applyBorder="1" applyFont="1">
      <alignment horizontal="center" shrinkToFit="0" vertical="top" wrapText="1"/>
    </xf>
    <xf borderId="1" fillId="4" fontId="3" numFmtId="0" xfId="0" applyAlignment="1" applyBorder="1" applyFont="1">
      <alignment horizontal="center" shrinkToFit="0" vertical="top" wrapText="1"/>
    </xf>
    <xf borderId="3" fillId="0" fontId="4" numFmtId="0" xfId="0" applyAlignment="1" applyBorder="1" applyFont="1">
      <alignment readingOrder="0" shrinkToFit="0" wrapText="1"/>
    </xf>
    <xf borderId="4" fillId="0" fontId="4" numFmtId="0" xfId="0" applyAlignment="1" applyBorder="1" applyFont="1">
      <alignment readingOrder="0" shrinkToFit="0" wrapText="1"/>
    </xf>
    <xf borderId="5" fillId="0" fontId="4" numFmtId="0" xfId="0" applyAlignment="1" applyBorder="1" applyFont="1">
      <alignment readingOrder="0" shrinkToFit="0" wrapText="1"/>
    </xf>
    <xf borderId="5" fillId="0" fontId="5" numFmtId="0" xfId="0" applyBorder="1" applyFont="1"/>
    <xf borderId="6" fillId="0" fontId="4" numFmtId="0" xfId="0" applyAlignment="1" applyBorder="1" applyFont="1">
      <alignment readingOrder="0" shrinkToFit="0" wrapText="1"/>
    </xf>
    <xf borderId="1" fillId="0" fontId="4" numFmtId="0" xfId="0" applyAlignment="1" applyBorder="1" applyFont="1">
      <alignment readingOrder="0" shrinkToFit="0" wrapText="1"/>
    </xf>
    <xf borderId="4" fillId="0" fontId="5" numFmtId="0" xfId="0" applyBorder="1" applyFont="1"/>
    <xf borderId="2" fillId="0" fontId="4" numFmtId="0" xfId="0" applyAlignment="1" applyBorder="1" applyFont="1">
      <alignment readingOrder="0" shrinkToFit="0" wrapText="1"/>
    </xf>
    <xf borderId="1" fillId="0" fontId="4" numFmtId="0" xfId="0" applyAlignment="1" applyBorder="1" applyFont="1">
      <alignment shrinkToFit="0" wrapText="1"/>
    </xf>
    <xf borderId="2" fillId="4" fontId="3" numFmtId="0" xfId="0" applyAlignment="1" applyBorder="1" applyFont="1">
      <alignment horizontal="center" shrinkToFit="0" vertical="top" wrapText="1"/>
    </xf>
    <xf borderId="7" fillId="0" fontId="4" numFmtId="0" xfId="0" applyAlignment="1" applyBorder="1" applyFont="1">
      <alignment readingOrder="0" shrinkToFit="0" wrapText="1"/>
    </xf>
    <xf borderId="8" fillId="0" fontId="5" numFmtId="0" xfId="0" applyBorder="1" applyFont="1"/>
    <xf borderId="3" fillId="0" fontId="5" numFmtId="0" xfId="0" applyBorder="1" applyFont="1"/>
    <xf borderId="2" fillId="4" fontId="3" numFmtId="0" xfId="0" applyAlignment="1" applyBorder="1" applyFont="1">
      <alignment horizontal="center" readingOrder="0" shrinkToFit="0" vertical="top" wrapText="1"/>
    </xf>
    <xf borderId="2" fillId="0" fontId="4" numFmtId="0" xfId="0" applyAlignment="1" applyBorder="1" applyFont="1">
      <alignment shrinkToFit="0" wrapText="1"/>
    </xf>
    <xf borderId="0" fillId="0" fontId="6" numFmtId="0" xfId="0" applyAlignment="1" applyFont="1">
      <alignment readingOrder="0" vertical="top"/>
    </xf>
    <xf borderId="0" fillId="0" fontId="6" numFmtId="0" xfId="0" applyAlignment="1" applyFont="1">
      <alignment vertical="top"/>
    </xf>
    <xf borderId="0" fillId="0" fontId="4" numFmtId="0" xfId="0" applyAlignment="1" applyFont="1">
      <alignment shrinkToFit="0" wrapText="1"/>
    </xf>
    <xf borderId="9" fillId="5" fontId="1" numFmtId="0" xfId="0" applyAlignment="1" applyBorder="1" applyFill="1" applyFont="1">
      <alignment horizontal="center" shrinkToFit="0" vertical="top" wrapText="1"/>
    </xf>
    <xf borderId="10" fillId="0" fontId="5" numFmtId="0" xfId="0" applyBorder="1" applyFont="1"/>
    <xf borderId="6" fillId="0" fontId="5" numFmtId="0" xfId="0" applyBorder="1" applyFont="1"/>
    <xf borderId="9" fillId="0" fontId="1" numFmtId="0" xfId="0" applyAlignment="1" applyBorder="1" applyFont="1">
      <alignment horizontal="center" shrinkToFit="0" vertical="top" wrapText="1"/>
    </xf>
    <xf borderId="10" fillId="0" fontId="1" numFmtId="0" xfId="0" applyAlignment="1" applyBorder="1" applyFont="1">
      <alignment horizontal="center" shrinkToFit="0" vertical="top" wrapText="1"/>
    </xf>
    <xf borderId="10" fillId="6" fontId="1" numFmtId="0" xfId="0" applyAlignment="1" applyBorder="1" applyFill="1" applyFont="1">
      <alignment horizontal="center" shrinkToFit="0" vertical="top" wrapText="1"/>
    </xf>
    <xf borderId="9" fillId="0" fontId="7" numFmtId="0" xfId="0" applyAlignment="1" applyBorder="1" applyFont="1">
      <alignment horizontal="center" shrinkToFit="0" vertical="top" wrapText="1"/>
    </xf>
    <xf borderId="1" fillId="7" fontId="1" numFmtId="0" xfId="0" applyAlignment="1" applyBorder="1" applyFill="1" applyFont="1">
      <alignment horizontal="center" readingOrder="0" shrinkToFit="0" vertical="top" wrapText="1"/>
    </xf>
    <xf borderId="4" fillId="0" fontId="8" numFmtId="0" xfId="0" applyAlignment="1" applyBorder="1" applyFont="1">
      <alignment horizontal="center" readingOrder="0" vertical="top"/>
    </xf>
    <xf borderId="4" fillId="0" fontId="8" numFmtId="0" xfId="0" applyAlignment="1" applyBorder="1" applyFont="1">
      <alignment horizontal="center" readingOrder="0" shrinkToFit="0" vertical="top" wrapText="1"/>
    </xf>
    <xf borderId="4" fillId="0" fontId="8" numFmtId="0" xfId="0" applyAlignment="1" applyBorder="1" applyFont="1">
      <alignment horizontal="center" vertical="top"/>
    </xf>
    <xf borderId="4" fillId="0" fontId="6" numFmtId="0" xfId="0" applyAlignment="1" applyBorder="1" applyFont="1">
      <alignment horizontal="right" vertical="top"/>
    </xf>
    <xf borderId="1" fillId="0" fontId="3" numFmtId="0" xfId="0" applyAlignment="1" applyBorder="1" applyFont="1">
      <alignment horizontal="center" shrinkToFit="0" vertical="top" wrapText="1"/>
    </xf>
    <xf borderId="5" fillId="0" fontId="6" numFmtId="0" xfId="0" applyAlignment="1" applyBorder="1" applyFont="1">
      <alignment horizontal="right" readingOrder="0" vertical="top"/>
    </xf>
    <xf borderId="1" fillId="0" fontId="6" numFmtId="0" xfId="0" applyAlignment="1" applyBorder="1" applyFont="1">
      <alignment horizontal="right" vertical="top"/>
    </xf>
    <xf borderId="3" fillId="0" fontId="3" numFmtId="0" xfId="0" applyAlignment="1" applyBorder="1" applyFont="1">
      <alignment horizontal="center" shrinkToFit="0" vertical="top" wrapText="1"/>
    </xf>
    <xf borderId="0" fillId="0" fontId="3" numFmtId="0" xfId="0" applyAlignment="1" applyFont="1">
      <alignment horizontal="center" shrinkToFit="0" vertical="top" wrapText="1"/>
    </xf>
    <xf borderId="3" fillId="0" fontId="6" numFmtId="0" xfId="0" applyAlignment="1" applyBorder="1" applyFont="1">
      <alignment vertical="top"/>
    </xf>
    <xf borderId="2" fillId="0" fontId="6" numFmtId="0" xfId="0" applyAlignment="1" applyBorder="1" applyFont="1">
      <alignment horizontal="right" vertical="top"/>
    </xf>
    <xf borderId="1" fillId="0" fontId="3" numFmtId="0" xfId="0" applyAlignment="1" applyBorder="1" applyFont="1">
      <alignment horizontal="center" readingOrder="0" shrinkToFit="0" vertical="top" wrapText="1"/>
    </xf>
    <xf borderId="1" fillId="0" fontId="3" numFmtId="0" xfId="0" applyAlignment="1" applyBorder="1" applyFont="1">
      <alignment horizontal="center" vertical="top"/>
    </xf>
    <xf borderId="1" fillId="0" fontId="3" numFmtId="0" xfId="0" applyAlignment="1" applyBorder="1" applyFont="1">
      <alignment horizontal="center" shrinkToFit="0" vertical="top" wrapText="1"/>
    </xf>
    <xf borderId="2" fillId="0" fontId="6" numFmtId="0" xfId="0" applyAlignment="1" applyBorder="1" applyFont="1">
      <alignment horizontal="right" readingOrder="0" vertical="top"/>
    </xf>
    <xf borderId="2" fillId="0" fontId="3" numFmtId="0" xfId="0" applyAlignment="1" applyBorder="1" applyFont="1">
      <alignment horizontal="right" readingOrder="0" vertical="top"/>
    </xf>
    <xf borderId="3" fillId="0" fontId="3" numFmtId="0" xfId="0" applyAlignment="1" applyBorder="1" applyFont="1">
      <alignment horizontal="center" shrinkToFit="0" vertical="top" wrapText="1"/>
    </xf>
    <xf borderId="1" fillId="0" fontId="6" numFmtId="0" xfId="0" applyAlignment="1" applyBorder="1" applyFont="1">
      <alignment vertical="top"/>
    </xf>
    <xf borderId="1" fillId="0" fontId="3" numFmtId="0" xfId="0" applyAlignment="1" applyBorder="1" applyFont="1">
      <alignment horizontal="center" readingOrder="0" vertical="top"/>
    </xf>
    <xf borderId="0" fillId="0" fontId="3" numFmtId="0" xfId="0" applyAlignment="1" applyFont="1">
      <alignment horizontal="center" shrinkToFit="0" vertical="top" wrapText="1"/>
    </xf>
    <xf borderId="1" fillId="0" fontId="6" numFmtId="0" xfId="0" applyAlignment="1" applyBorder="1" applyFont="1">
      <alignment vertical="top"/>
    </xf>
    <xf borderId="1" fillId="0" fontId="6" numFmtId="0" xfId="0" applyAlignment="1" applyBorder="1" applyFont="1">
      <alignment horizontal="right" readingOrder="0" vertical="top"/>
    </xf>
    <xf borderId="2" fillId="0" fontId="6" numFmtId="0" xfId="0" applyAlignment="1" applyBorder="1" applyFont="1">
      <alignment vertical="top"/>
    </xf>
    <xf borderId="2" fillId="0" fontId="3" numFmtId="0" xfId="0" applyAlignment="1" applyBorder="1" applyFont="1">
      <alignment horizontal="center" shrinkToFit="0" vertical="top" wrapText="1"/>
    </xf>
    <xf borderId="8" fillId="0" fontId="6" numFmtId="0" xfId="0" applyAlignment="1" applyBorder="1" applyFont="1">
      <alignment vertical="top"/>
    </xf>
    <xf borderId="2" fillId="0" fontId="6" numFmtId="0" xfId="0" applyAlignment="1" applyBorder="1" applyFont="1">
      <alignment vertical="top"/>
    </xf>
    <xf borderId="2" fillId="0" fontId="3" numFmtId="0" xfId="0" applyAlignment="1" applyBorder="1" applyFont="1">
      <alignment horizontal="center" shrinkToFit="0" vertical="top" wrapText="1"/>
    </xf>
    <xf borderId="1" fillId="0" fontId="9" numFmtId="0" xfId="0" applyAlignment="1" applyBorder="1" applyFont="1">
      <alignment horizontal="center" readingOrder="0" shrinkToFit="0" vertical="top" wrapText="1"/>
    </xf>
    <xf borderId="8" fillId="0" fontId="3" numFmtId="0" xfId="0" applyAlignment="1" applyBorder="1" applyFont="1">
      <alignment horizontal="center" shrinkToFit="0" vertical="top" wrapText="1"/>
    </xf>
    <xf borderId="1" fillId="0" fontId="6" numFmtId="0" xfId="0" applyAlignment="1" applyBorder="1" applyFont="1">
      <alignment vertical="bottom"/>
    </xf>
    <xf borderId="0" fillId="0" fontId="6" numFmtId="0" xfId="0" applyAlignment="1" applyFont="1">
      <alignment vertical="bottom"/>
    </xf>
    <xf borderId="0" fillId="0" fontId="6" numFmtId="0" xfId="0" applyAlignment="1" applyFont="1">
      <alignment vertical="top"/>
    </xf>
    <xf borderId="4" fillId="0" fontId="6" numFmtId="0" xfId="0" applyAlignment="1" applyBorder="1" applyFont="1">
      <alignment horizontal="right" readingOrder="0" vertical="top"/>
    </xf>
    <xf borderId="11" fillId="0" fontId="6" numFmtId="0" xfId="0" applyAlignment="1" applyBorder="1" applyFont="1">
      <alignment vertical="bottom"/>
    </xf>
    <xf borderId="0" fillId="0" fontId="6" numFmtId="0" xfId="0" applyAlignment="1" applyFont="1">
      <alignment vertical="bottom"/>
    </xf>
    <xf borderId="0" fillId="0" fontId="3" numFmtId="0" xfId="0" applyAlignment="1" applyFont="1">
      <alignment horizontal="center" shrinkToFit="0" vertical="bottom" wrapText="1"/>
    </xf>
    <xf borderId="0" fillId="0" fontId="6" numFmtId="0" xfId="0" applyAlignment="1" applyFont="1">
      <alignment horizontal="right" vertical="top"/>
    </xf>
    <xf borderId="0" fillId="0" fontId="1" numFmtId="0" xfId="0" applyAlignment="1" applyFont="1">
      <alignment horizontal="center" shrinkToFit="0" vertical="top" wrapText="1"/>
    </xf>
    <xf borderId="0" fillId="0" fontId="7" numFmtId="0" xfId="0" applyAlignment="1" applyFont="1">
      <alignment horizontal="center" shrinkToFit="0" vertical="top" wrapText="1"/>
    </xf>
    <xf borderId="0" fillId="6" fontId="1" numFmtId="0" xfId="0" applyAlignment="1" applyFont="1">
      <alignment horizontal="center" shrinkToFit="0" vertical="top" wrapText="1"/>
    </xf>
    <xf borderId="2" fillId="8" fontId="8" numFmtId="0" xfId="0" applyAlignment="1" applyBorder="1" applyFill="1" applyFont="1">
      <alignment horizontal="center" readingOrder="0" shrinkToFit="0" vertical="top" wrapText="1"/>
    </xf>
    <xf borderId="9" fillId="8" fontId="1" numFmtId="0" xfId="0" applyAlignment="1" applyBorder="1" applyFont="1">
      <alignment horizontal="center" readingOrder="0" shrinkToFit="0" vertical="top" wrapText="1"/>
    </xf>
    <xf borderId="1" fillId="8" fontId="1" numFmtId="0" xfId="0" applyAlignment="1" applyBorder="1" applyFont="1">
      <alignment horizontal="center" readingOrder="0" shrinkToFit="0" vertical="top" wrapText="1"/>
    </xf>
    <xf borderId="1" fillId="6" fontId="1" numFmtId="0" xfId="0" applyAlignment="1" applyBorder="1" applyFont="1">
      <alignment horizontal="center" readingOrder="0" shrinkToFit="0" vertical="top" wrapText="1"/>
    </xf>
    <xf borderId="9" fillId="3" fontId="6" numFmtId="0" xfId="0" applyAlignment="1" applyBorder="1" applyFont="1">
      <alignment horizontal="center" vertical="top"/>
    </xf>
    <xf borderId="1" fillId="3" fontId="6" numFmtId="0" xfId="0" applyAlignment="1" applyBorder="1" applyFont="1">
      <alignment horizontal="center" readingOrder="0" vertical="top"/>
    </xf>
    <xf borderId="6" fillId="3" fontId="6" numFmtId="0" xfId="0" applyAlignment="1" applyBorder="1" applyFont="1">
      <alignment horizontal="center" readingOrder="0" vertical="top"/>
    </xf>
    <xf borderId="1" fillId="0" fontId="6" numFmtId="0" xfId="0" applyAlignment="1" applyBorder="1" applyFont="1">
      <alignment shrinkToFit="0" vertical="top" wrapText="1"/>
    </xf>
    <xf borderId="1" fillId="8" fontId="6" numFmtId="0" xfId="0" applyAlignment="1" applyBorder="1" applyFont="1">
      <alignment shrinkToFit="0" vertical="top" wrapText="1"/>
    </xf>
    <xf borderId="1" fillId="0" fontId="6" numFmtId="0" xfId="0" applyAlignment="1" applyBorder="1" applyFont="1">
      <alignment horizontal="center" readingOrder="0" vertical="top"/>
    </xf>
    <xf borderId="1" fillId="0" fontId="9" numFmtId="0" xfId="0" applyAlignment="1" applyBorder="1" applyFont="1">
      <alignment horizontal="center" shrinkToFit="0" vertical="top" wrapText="1"/>
    </xf>
    <xf borderId="1" fillId="8" fontId="6" numFmtId="0" xfId="0" applyAlignment="1" applyBorder="1" applyFont="1">
      <alignment readingOrder="0" shrinkToFit="0" vertical="top" wrapText="1"/>
    </xf>
    <xf borderId="1" fillId="9" fontId="6" numFmtId="0" xfId="0" applyAlignment="1" applyBorder="1" applyFill="1" applyFont="1">
      <alignment horizontal="center" readingOrder="0" vertical="top"/>
    </xf>
    <xf borderId="2" fillId="8" fontId="6" numFmtId="0" xfId="0" applyAlignment="1" applyBorder="1" applyFont="1">
      <alignment shrinkToFit="0" vertical="top" wrapText="1"/>
    </xf>
    <xf borderId="2" fillId="0" fontId="6" numFmtId="0" xfId="0" applyAlignment="1" applyBorder="1" applyFont="1">
      <alignment horizontal="center" readingOrder="0" vertical="top"/>
    </xf>
    <xf borderId="12" fillId="0" fontId="6" numFmtId="0" xfId="0" applyAlignment="1" applyBorder="1" applyFont="1">
      <alignment vertical="top"/>
    </xf>
    <xf borderId="0" fillId="0" fontId="6" numFmtId="0" xfId="0" applyAlignment="1" applyFont="1">
      <alignment shrinkToFit="0" vertical="top" wrapText="1"/>
    </xf>
    <xf borderId="0" fillId="0" fontId="3" numFmtId="0" xfId="0" applyAlignment="1" applyFont="1">
      <alignment readingOrder="0" vertical="top"/>
    </xf>
    <xf borderId="2" fillId="8" fontId="8" numFmtId="0" xfId="0" applyAlignment="1" applyBorder="1" applyFont="1">
      <alignment readingOrder="0" shrinkToFit="0" vertical="top" wrapText="1"/>
    </xf>
    <xf borderId="9" fillId="6" fontId="1" numFmtId="0" xfId="0" applyAlignment="1" applyBorder="1" applyFont="1">
      <alignment horizontal="center" readingOrder="0" shrinkToFit="0" vertical="top" wrapText="1"/>
    </xf>
    <xf borderId="9" fillId="0" fontId="6" numFmtId="0" xfId="0" applyAlignment="1" applyBorder="1" applyFont="1">
      <alignment vertical="top"/>
    </xf>
    <xf borderId="1" fillId="0" fontId="6" numFmtId="0" xfId="0" applyAlignment="1" applyBorder="1" applyFont="1">
      <alignment vertical="top"/>
    </xf>
    <xf borderId="0" fillId="0" fontId="9" numFmtId="0" xfId="0" applyAlignment="1" applyFont="1">
      <alignment horizontal="center" readingOrder="0" shrinkToFit="0" vertical="top" wrapText="1"/>
    </xf>
    <xf borderId="1" fillId="0" fontId="9" numFmtId="0" xfId="0" applyAlignment="1" applyBorder="1" applyFont="1">
      <alignment horizontal="center" readingOrder="0" shrinkToFit="0" vertical="top" wrapText="1"/>
    </xf>
    <xf borderId="1" fillId="0" fontId="9" numFmtId="0" xfId="0" applyAlignment="1" applyBorder="1" applyFont="1">
      <alignment horizontal="center" vertical="top"/>
    </xf>
    <xf borderId="1" fillId="0" fontId="3" numFmtId="0" xfId="0" applyAlignment="1" applyBorder="1" applyFont="1">
      <alignment horizontal="center" readingOrder="0" vertical="top"/>
    </xf>
  </cellXfs>
  <cellStyles count="1">
    <cellStyle xfId="0" name="Normal" builtinId="0"/>
  </cellStyles>
  <dxfs count="10">
    <dxf>
      <font/>
      <fill>
        <patternFill patternType="solid">
          <fgColor rgb="FFD4F6F4"/>
          <bgColor rgb="FFD4F6F4"/>
        </patternFill>
      </fill>
      <border/>
    </dxf>
    <dxf>
      <font>
        <color rgb="FF000000"/>
      </font>
      <fill>
        <patternFill patternType="solid">
          <fgColor rgb="FFA4ECE7"/>
          <bgColor rgb="FFA4ECE7"/>
        </patternFill>
      </fill>
      <border/>
    </dxf>
    <dxf>
      <font/>
      <fill>
        <patternFill patternType="solid">
          <fgColor rgb="FF7EE2DB"/>
          <bgColor rgb="FF7EE2DB"/>
        </patternFill>
      </fill>
      <border/>
    </dxf>
    <dxf>
      <font/>
      <fill>
        <patternFill patternType="solid">
          <fgColor rgb="FF52C5BD"/>
          <bgColor rgb="FF52C5BD"/>
        </patternFill>
      </fill>
      <border/>
    </dxf>
    <dxf>
      <font/>
      <fill>
        <patternFill patternType="solid">
          <fgColor rgb="FF2E9F97"/>
          <bgColor rgb="FF2E9F97"/>
        </patternFill>
      </fill>
      <border/>
    </dxf>
    <dxf>
      <font/>
      <fill>
        <patternFill patternType="solid">
          <fgColor rgb="FF197F78"/>
          <bgColor rgb="FF197F78"/>
        </patternFill>
      </fill>
      <border/>
    </dxf>
    <dxf>
      <font/>
      <fill>
        <patternFill patternType="solid">
          <fgColor rgb="FF286370"/>
          <bgColor rgb="FF286370"/>
        </patternFill>
      </fill>
      <border/>
    </dxf>
    <dxf>
      <font/>
      <fill>
        <patternFill patternType="solid">
          <fgColor rgb="FFFFE599"/>
          <bgColor rgb="FFFFE599"/>
        </patternFill>
      </fill>
      <border/>
    </dxf>
    <dxf>
      <font/>
      <fill>
        <patternFill patternType="solid">
          <fgColor rgb="FFB6D7A8"/>
          <bgColor rgb="FFB6D7A8"/>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bae9dacd-1ab6-4b0d-8eef-e23c13a8727e}">
    <Anchor>
      <Comment id="{792f76e4-c469-4bf5-aee8-b6543c8167b3}"/>
    </Anchor>
    <History>
      <Event time="2026-03-10T11:43:47.00" id="{4706031b-3b7f-4135-aa76-84163baf9b54}">
        <Attribution userId="placeholder@email.com" userName="Anwesha Maharana" userProvider="google-sheets"/>
        <Anchor>
          <Comment id="{792f76e4-c469-4bf5-aee8-b6543c8167b3}"/>
        </Anchor>
        <Create/>
      </Event>
      <Event time="2026-03-10T11:43:47.00" id="{d90e6bf0-189d-4cf9-8af5-1dd9f97a8a11}">
        <Attribution userId="placeholder@email.com" userName="Anwesha Maharana" userProvider="google-sheets"/>
        <Anchor>
          <Comment id="{792f76e4-c469-4bf5-aee8-b6543c8167b3}"/>
        </Anchor>
        <Assign userId="patil19.shreyas@gmail.com" userName="patil19.shreyas@gmail.com" userProvider="google-sheets"/>
      </Event>
    </History>
  </Task>
  <Task id="{c04c7b98-756c-4717-a9f6-4e4643f9232c}">
    <Anchor>
      <Comment id="{725549e9-ab56-4063-a813-1d0b6375455e}"/>
    </Anchor>
    <History>
      <Event time="2026-03-10T11:30:35.00" id="{62aff78a-fd2f-4add-8f2b-1999ca8c2171}">
        <Attribution userId="placeholder@email.com" userName="Anwesha Maharana" userProvider="google-sheets"/>
        <Anchor>
          <Comment id="{725549e9-ab56-4063-a813-1d0b6375455e}"/>
        </Anchor>
        <Create/>
      </Event>
      <Event time="2026-03-10T11:30:35.00" id="{21cd7f66-9753-4c89-96d8-9b5a1aa799f2}">
        <Attribution userId="placeholder@email.com" userName="Anwesha Maharana" userProvider="google-sheets"/>
        <Anchor>
          <Comment id="{725549e9-ab56-4063-a813-1d0b6375455e}"/>
        </Anchor>
        <Assign userId="patil19.shreyas@gmail.com" userName="patil19.shreyas@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wesha Maharana" id="{7b2c048e-2512-411d-948b-d7e43075b15b}" providerId="google-sheets"/>
  <x18tc:person displayName="siddhesh zadey" id="{f9834693-1c83-40d6-b9f8-1d9b0c8eca1f}" providerId="google-sheets"/>
  <x18tc:person displayName="patil19.shreyas@gmail.com" id="{7905e260-c933-4bcb-acfa-29dc76078c92}" userId="patil19.shreyas@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7" dT="2026-03-10T11:43:47.00" personId="{7b2c048e-2512-411d-948b-d7e43075b15b}" id="{792f76e4-c469-4bf5-aee8-b6543c8167b3}" done="1">
    <x18tc:text xml:space="preserve">@patil19.shreyas@gmail.com
Assigned to patil19.shreyas@gmail.com</x18tc:text>
    <x18tc:mentions>
      <x18tc:mention mentionpersonId="{7905e260-c933-4bcb-acfa-29dc76078c92}" mentionId="{148dea21-08d8-473a-bd47-6149e0b5c4d3}" startIndex="0" length="26"/>
    </x18tc:mentions>
  </x18tc:threadedComment>
  <x18tc:threadedComment ref="E12" dT="2026-03-15T11:11:32.00" personId="{f9834693-1c83-40d6-b9f8-1d9b0c8eca1f}" id="{7fd8c206-3751-4503-aa98-2130b0621dd5}" done="1">
    <x18tc:text xml:space="preserve">This is great! This tells me how you did it :)</x18tc:text>
  </x18tc:threadedComment>
  <x18tc:threadedComment ref="E3" dT="2026-03-15T11:10:39.00" personId="{f9834693-1c83-40d6-b9f8-1d9b0c8eca1f}" id="{9204032c-4098-4f27-8b12-eeaeb695428d}" done="1">
    <x18tc:text xml:space="preserve">I think this says - "what we found" not how we did it or what we were looking for. So, you might have to fine tune the language.</x18tc:text>
  </x18tc:threadedComment>
  <x18tc:threadedComment ref="D14" dT="2026-03-10T11:30:35.00" personId="{7b2c048e-2512-411d-948b-d7e43075b15b}" id="{725549e9-ab56-4063-a813-1d0b6375455e}" done="1">
    <x18tc:text xml:space="preserve">@patil19.shreyas@gmail.com
Assigned to patil19.shreyas@gmail.com</x18tc:text>
    <x18tc:mentions>
      <x18tc:mention mentionpersonId="{7905e260-c933-4bcb-acfa-29dc76078c92}" mentionId="{9f7b8a52-6793-4f54-bc93-ad8d152f1b69}" startIndex="0" length="2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9.75"/>
    <col customWidth="1" min="3" max="3" width="34.0"/>
    <col customWidth="1" min="4" max="4" width="43.38"/>
    <col customWidth="1" min="5" max="5" width="42.5"/>
    <col customWidth="1" min="6" max="6" width="37.75"/>
  </cols>
  <sheetData>
    <row r="1">
      <c r="A1" s="1" t="s">
        <v>0</v>
      </c>
      <c r="B1" s="2" t="s">
        <v>1</v>
      </c>
      <c r="C1" s="3" t="s">
        <v>2</v>
      </c>
      <c r="D1" s="4" t="s">
        <v>3</v>
      </c>
      <c r="E1" s="4" t="s">
        <v>4</v>
      </c>
      <c r="F1" s="4" t="s">
        <v>5</v>
      </c>
    </row>
    <row r="2">
      <c r="A2" s="5" t="s">
        <v>6</v>
      </c>
      <c r="B2" s="6" t="s">
        <v>7</v>
      </c>
      <c r="C2" s="7" t="s">
        <v>8</v>
      </c>
      <c r="D2" s="8" t="s">
        <v>9</v>
      </c>
      <c r="E2" s="9" t="s">
        <v>10</v>
      </c>
      <c r="F2" s="10" t="s">
        <v>11</v>
      </c>
    </row>
    <row r="3">
      <c r="A3" s="11"/>
      <c r="B3" s="11"/>
      <c r="C3" s="7" t="s">
        <v>12</v>
      </c>
      <c r="D3" s="12" t="s">
        <v>13</v>
      </c>
      <c r="E3" s="13" t="s">
        <v>14</v>
      </c>
      <c r="F3" s="11"/>
    </row>
    <row r="4">
      <c r="A4" s="11"/>
      <c r="B4" s="11"/>
      <c r="C4" s="7" t="s">
        <v>15</v>
      </c>
      <c r="D4" s="12" t="s">
        <v>16</v>
      </c>
      <c r="E4" s="13" t="s">
        <v>17</v>
      </c>
      <c r="F4" s="11"/>
    </row>
    <row r="5">
      <c r="A5" s="11"/>
      <c r="B5" s="14"/>
      <c r="C5" s="7" t="s">
        <v>18</v>
      </c>
      <c r="D5" s="12" t="s">
        <v>19</v>
      </c>
      <c r="E5" s="13" t="s">
        <v>20</v>
      </c>
      <c r="F5" s="14"/>
    </row>
    <row r="6">
      <c r="A6" s="11"/>
      <c r="B6" s="6" t="s">
        <v>21</v>
      </c>
      <c r="C6" s="7" t="s">
        <v>22</v>
      </c>
      <c r="D6" s="12" t="s">
        <v>23</v>
      </c>
      <c r="E6" s="13" t="s">
        <v>24</v>
      </c>
      <c r="F6" s="13" t="s">
        <v>25</v>
      </c>
    </row>
    <row r="7">
      <c r="A7" s="14"/>
      <c r="B7" s="14"/>
      <c r="C7" s="7" t="s">
        <v>26</v>
      </c>
      <c r="D7" s="12" t="s">
        <v>27</v>
      </c>
      <c r="E7" s="13" t="s">
        <v>28</v>
      </c>
      <c r="F7" s="13" t="s">
        <v>29</v>
      </c>
    </row>
    <row r="8">
      <c r="A8" s="5" t="s">
        <v>30</v>
      </c>
      <c r="B8" s="6" t="s">
        <v>31</v>
      </c>
      <c r="C8" s="7" t="s">
        <v>32</v>
      </c>
      <c r="D8" s="12" t="s">
        <v>33</v>
      </c>
      <c r="E8" s="13" t="s">
        <v>28</v>
      </c>
      <c r="F8" s="15" t="s">
        <v>34</v>
      </c>
    </row>
    <row r="9">
      <c r="A9" s="11"/>
      <c r="B9" s="11"/>
      <c r="C9" s="7" t="s">
        <v>35</v>
      </c>
      <c r="D9" s="12" t="s">
        <v>36</v>
      </c>
      <c r="E9" s="13" t="s">
        <v>37</v>
      </c>
      <c r="F9" s="14"/>
    </row>
    <row r="10">
      <c r="A10" s="11"/>
      <c r="B10" s="11"/>
      <c r="C10" s="7" t="s">
        <v>38</v>
      </c>
      <c r="D10" s="12" t="s">
        <v>39</v>
      </c>
      <c r="E10" s="13" t="s">
        <v>40</v>
      </c>
      <c r="F10" s="16"/>
    </row>
    <row r="11">
      <c r="A11" s="14"/>
      <c r="B11" s="14"/>
      <c r="C11" s="7" t="s">
        <v>41</v>
      </c>
      <c r="D11" s="12" t="s">
        <v>42</v>
      </c>
      <c r="E11" s="13" t="s">
        <v>43</v>
      </c>
      <c r="F11" s="16"/>
    </row>
    <row r="12">
      <c r="A12" s="5" t="s">
        <v>44</v>
      </c>
      <c r="B12" s="2" t="s">
        <v>45</v>
      </c>
      <c r="C12" s="7" t="s">
        <v>46</v>
      </c>
      <c r="D12" s="12" t="s">
        <v>47</v>
      </c>
      <c r="E12" s="13" t="s">
        <v>48</v>
      </c>
      <c r="F12" s="16"/>
    </row>
    <row r="13">
      <c r="A13" s="11"/>
      <c r="B13" s="6" t="s">
        <v>49</v>
      </c>
      <c r="C13" s="7" t="s">
        <v>50</v>
      </c>
      <c r="D13" s="12" t="s">
        <v>51</v>
      </c>
      <c r="E13" s="13" t="s">
        <v>52</v>
      </c>
      <c r="F13" s="16"/>
    </row>
    <row r="14">
      <c r="A14" s="11"/>
      <c r="B14" s="11"/>
      <c r="C14" s="7" t="s">
        <v>53</v>
      </c>
      <c r="D14" s="12" t="s">
        <v>54</v>
      </c>
      <c r="E14" s="13" t="s">
        <v>55</v>
      </c>
      <c r="F14" s="16"/>
    </row>
    <row r="15">
      <c r="A15" s="11"/>
      <c r="B15" s="11"/>
      <c r="C15" s="7" t="s">
        <v>56</v>
      </c>
      <c r="D15" s="12" t="s">
        <v>57</v>
      </c>
      <c r="E15" s="13" t="s">
        <v>58</v>
      </c>
      <c r="F15" s="16"/>
    </row>
    <row r="16">
      <c r="A16" s="14"/>
      <c r="B16" s="14"/>
      <c r="C16" s="7" t="s">
        <v>59</v>
      </c>
      <c r="D16" s="12" t="s">
        <v>60</v>
      </c>
      <c r="E16" s="13" t="s">
        <v>61</v>
      </c>
      <c r="F16" s="16"/>
    </row>
    <row r="17">
      <c r="A17" s="5" t="s">
        <v>62</v>
      </c>
      <c r="B17" s="6" t="s">
        <v>63</v>
      </c>
      <c r="C17" s="17" t="s">
        <v>64</v>
      </c>
      <c r="D17" s="18" t="s">
        <v>65</v>
      </c>
      <c r="E17" s="15" t="s">
        <v>66</v>
      </c>
      <c r="F17" s="15" t="s">
        <v>67</v>
      </c>
    </row>
    <row r="18">
      <c r="A18" s="11"/>
      <c r="B18" s="11"/>
      <c r="C18" s="11"/>
      <c r="D18" s="19"/>
      <c r="E18" s="11"/>
      <c r="F18" s="11"/>
    </row>
    <row r="19">
      <c r="A19" s="11"/>
      <c r="B19" s="11"/>
      <c r="C19" s="11"/>
      <c r="D19" s="19"/>
      <c r="E19" s="11"/>
      <c r="F19" s="11"/>
    </row>
    <row r="20">
      <c r="A20" s="11"/>
      <c r="B20" s="11"/>
      <c r="C20" s="11"/>
      <c r="D20" s="19"/>
      <c r="E20" s="11"/>
      <c r="F20" s="11"/>
    </row>
    <row r="21">
      <c r="A21" s="11"/>
      <c r="B21" s="11"/>
      <c r="C21" s="11"/>
      <c r="D21" s="19"/>
      <c r="E21" s="11"/>
      <c r="F21" s="11"/>
    </row>
    <row r="22">
      <c r="A22" s="11"/>
      <c r="B22" s="11"/>
      <c r="C22" s="11"/>
      <c r="D22" s="19"/>
      <c r="E22" s="11"/>
      <c r="F22" s="11"/>
    </row>
    <row r="23">
      <c r="A23" s="11"/>
      <c r="B23" s="11"/>
      <c r="C23" s="11"/>
      <c r="D23" s="19"/>
      <c r="E23" s="11"/>
      <c r="F23" s="11"/>
    </row>
    <row r="24">
      <c r="A24" s="11"/>
      <c r="B24" s="11"/>
      <c r="C24" s="11"/>
      <c r="D24" s="19"/>
      <c r="E24" s="11"/>
      <c r="F24" s="11"/>
    </row>
    <row r="25">
      <c r="A25" s="11"/>
      <c r="B25" s="11"/>
      <c r="C25" s="11"/>
      <c r="D25" s="19"/>
      <c r="E25" s="11"/>
      <c r="F25" s="11"/>
    </row>
    <row r="26" ht="12.0" customHeight="1">
      <c r="A26" s="11"/>
      <c r="B26" s="11"/>
      <c r="C26" s="11"/>
      <c r="D26" s="19"/>
      <c r="E26" s="11"/>
      <c r="F26" s="11"/>
    </row>
    <row r="27" ht="1.5" customHeight="1">
      <c r="A27" s="11"/>
      <c r="B27" s="11"/>
      <c r="C27" s="14"/>
      <c r="D27" s="20"/>
      <c r="E27" s="14"/>
      <c r="F27" s="14"/>
    </row>
    <row r="28">
      <c r="A28" s="11"/>
      <c r="B28" s="14"/>
      <c r="C28" s="7" t="s">
        <v>68</v>
      </c>
      <c r="D28" s="12" t="s">
        <v>69</v>
      </c>
      <c r="E28" s="13" t="s">
        <v>70</v>
      </c>
      <c r="F28" s="16"/>
    </row>
    <row r="29">
      <c r="A29" s="11"/>
      <c r="B29" s="6" t="s">
        <v>71</v>
      </c>
      <c r="C29" s="21" t="s">
        <v>72</v>
      </c>
      <c r="D29" s="18" t="s">
        <v>73</v>
      </c>
      <c r="E29" s="15" t="s">
        <v>74</v>
      </c>
      <c r="F29" s="22"/>
    </row>
    <row r="30">
      <c r="A30" s="11"/>
      <c r="B30" s="11"/>
      <c r="C30" s="11"/>
      <c r="D30" s="19"/>
      <c r="E30" s="11"/>
      <c r="F30" s="11"/>
    </row>
    <row r="31">
      <c r="A31" s="11"/>
      <c r="B31" s="11"/>
      <c r="C31" s="11"/>
      <c r="D31" s="19"/>
      <c r="E31" s="11"/>
      <c r="F31" s="11"/>
    </row>
    <row r="32">
      <c r="A32" s="11"/>
      <c r="B32" s="11"/>
      <c r="C32" s="11"/>
      <c r="D32" s="19"/>
      <c r="E32" s="11"/>
      <c r="F32" s="11"/>
    </row>
    <row r="33" ht="38.25" customHeight="1">
      <c r="A33" s="14"/>
      <c r="B33" s="14"/>
      <c r="C33" s="14"/>
      <c r="D33" s="20"/>
      <c r="E33" s="14"/>
      <c r="F33" s="14"/>
    </row>
    <row r="34">
      <c r="A34" s="5" t="s">
        <v>75</v>
      </c>
      <c r="B34" s="6" t="s">
        <v>76</v>
      </c>
      <c r="C34" s="7" t="s">
        <v>77</v>
      </c>
      <c r="D34" s="12" t="s">
        <v>78</v>
      </c>
      <c r="E34" s="13" t="s">
        <v>79</v>
      </c>
      <c r="F34" s="16"/>
    </row>
    <row r="35">
      <c r="A35" s="11"/>
      <c r="B35" s="14"/>
      <c r="C35" s="7" t="s">
        <v>80</v>
      </c>
      <c r="D35" s="12" t="s">
        <v>81</v>
      </c>
      <c r="E35" s="13" t="s">
        <v>82</v>
      </c>
      <c r="F35" s="16"/>
    </row>
    <row r="36">
      <c r="A36" s="11"/>
      <c r="B36" s="6" t="s">
        <v>83</v>
      </c>
      <c r="C36" s="7" t="s">
        <v>84</v>
      </c>
      <c r="D36" s="12" t="s">
        <v>85</v>
      </c>
      <c r="E36" s="13" t="s">
        <v>86</v>
      </c>
      <c r="F36" s="15" t="s">
        <v>87</v>
      </c>
    </row>
    <row r="37">
      <c r="A37" s="11"/>
      <c r="B37" s="11"/>
      <c r="C37" s="7" t="s">
        <v>88</v>
      </c>
      <c r="D37" s="12" t="s">
        <v>89</v>
      </c>
      <c r="E37" s="13" t="s">
        <v>90</v>
      </c>
      <c r="F37" s="11"/>
    </row>
    <row r="38">
      <c r="A38" s="14"/>
      <c r="B38" s="14"/>
      <c r="C38" s="7" t="s">
        <v>91</v>
      </c>
      <c r="D38" s="12" t="s">
        <v>92</v>
      </c>
      <c r="E38" s="13" t="s">
        <v>93</v>
      </c>
      <c r="F38" s="14"/>
    </row>
    <row r="39">
      <c r="A39" s="5" t="s">
        <v>94</v>
      </c>
      <c r="B39" s="2" t="s">
        <v>95</v>
      </c>
      <c r="C39" s="7" t="s">
        <v>96</v>
      </c>
      <c r="D39" s="12" t="s">
        <v>97</v>
      </c>
      <c r="E39" s="13" t="s">
        <v>98</v>
      </c>
      <c r="F39" s="15" t="s">
        <v>99</v>
      </c>
    </row>
    <row r="40">
      <c r="A40" s="14"/>
      <c r="B40" s="2" t="s">
        <v>100</v>
      </c>
      <c r="C40" s="7" t="s">
        <v>101</v>
      </c>
      <c r="D40" s="12" t="s">
        <v>102</v>
      </c>
      <c r="E40" s="16"/>
      <c r="F40" s="14"/>
    </row>
    <row r="41">
      <c r="A41" s="23"/>
      <c r="B41" s="24"/>
      <c r="C41" s="24"/>
      <c r="D41" s="25"/>
      <c r="E41" s="25"/>
      <c r="F41" s="25"/>
    </row>
    <row r="42">
      <c r="D42" s="25"/>
      <c r="E42" s="25"/>
      <c r="F42" s="25"/>
    </row>
    <row r="43">
      <c r="A43" s="23"/>
      <c r="B43" s="23"/>
      <c r="C43" s="23"/>
      <c r="D43" s="25"/>
      <c r="E43" s="25"/>
      <c r="F43" s="25"/>
    </row>
    <row r="44">
      <c r="D44" s="25"/>
      <c r="E44" s="25"/>
      <c r="F44" s="25"/>
    </row>
    <row r="45">
      <c r="B45" s="24"/>
      <c r="C45" s="24"/>
      <c r="D45" s="25"/>
      <c r="E45" s="25"/>
      <c r="F45" s="25"/>
    </row>
    <row r="46">
      <c r="A46" s="24"/>
      <c r="B46" s="24"/>
      <c r="C46" s="24"/>
      <c r="D46" s="25"/>
      <c r="E46" s="25"/>
      <c r="F46" s="25"/>
    </row>
    <row r="47">
      <c r="A47" s="24"/>
      <c r="B47" s="24"/>
      <c r="C47" s="24"/>
      <c r="D47" s="25"/>
      <c r="E47" s="25"/>
      <c r="F47" s="25"/>
    </row>
    <row r="48">
      <c r="A48" s="24"/>
      <c r="B48" s="24"/>
      <c r="C48" s="24"/>
      <c r="D48" s="25"/>
      <c r="E48" s="25"/>
      <c r="F48" s="25"/>
    </row>
    <row r="49">
      <c r="C49" s="24"/>
      <c r="D49" s="25"/>
      <c r="E49" s="25"/>
      <c r="F49" s="25"/>
    </row>
    <row r="50">
      <c r="A50" s="24"/>
      <c r="B50" s="24"/>
      <c r="C50" s="24"/>
      <c r="D50" s="25"/>
      <c r="E50" s="25"/>
      <c r="F50" s="25"/>
    </row>
    <row r="51">
      <c r="A51" s="24"/>
      <c r="B51" s="24"/>
      <c r="C51" s="24"/>
      <c r="D51" s="25"/>
      <c r="E51" s="25"/>
      <c r="F51" s="25"/>
    </row>
    <row r="52">
      <c r="B52" s="24"/>
      <c r="C52" s="24"/>
      <c r="D52" s="25"/>
      <c r="E52" s="25"/>
      <c r="F52" s="25"/>
    </row>
    <row r="53">
      <c r="C53" s="24"/>
      <c r="D53" s="25"/>
      <c r="E53" s="25"/>
      <c r="F53" s="25"/>
    </row>
    <row r="54">
      <c r="C54" s="24"/>
      <c r="D54" s="25"/>
      <c r="E54" s="25"/>
      <c r="F54" s="25"/>
    </row>
    <row r="55">
      <c r="C55" s="24"/>
      <c r="D55" s="25"/>
      <c r="E55" s="25"/>
      <c r="F55" s="25"/>
    </row>
    <row r="56">
      <c r="C56" s="24"/>
      <c r="D56" s="25"/>
      <c r="E56" s="25"/>
      <c r="F56" s="25"/>
    </row>
    <row r="57">
      <c r="C57" s="24"/>
      <c r="D57" s="25"/>
      <c r="E57" s="25"/>
      <c r="F57" s="25"/>
    </row>
    <row r="58">
      <c r="C58" s="24"/>
      <c r="D58" s="25"/>
      <c r="E58" s="25"/>
      <c r="F58" s="25"/>
    </row>
    <row r="59">
      <c r="A59" s="24"/>
      <c r="B59" s="24"/>
      <c r="C59" s="24"/>
      <c r="D59" s="25"/>
      <c r="E59" s="25"/>
      <c r="F59" s="25"/>
    </row>
    <row r="60">
      <c r="D60" s="25"/>
      <c r="E60" s="25"/>
      <c r="F60" s="25"/>
    </row>
    <row r="61">
      <c r="D61" s="25"/>
      <c r="E61" s="25"/>
      <c r="F61" s="25"/>
    </row>
    <row r="62">
      <c r="D62" s="25"/>
      <c r="E62" s="25"/>
      <c r="F62" s="25"/>
    </row>
    <row r="63">
      <c r="D63" s="25"/>
      <c r="E63" s="25"/>
      <c r="F63" s="25"/>
    </row>
    <row r="64">
      <c r="C64" s="24"/>
      <c r="D64" s="25"/>
      <c r="E64" s="25"/>
      <c r="F64" s="25"/>
    </row>
    <row r="65">
      <c r="C65" s="24"/>
      <c r="D65" s="25"/>
      <c r="E65" s="25"/>
      <c r="F65" s="25"/>
    </row>
    <row r="66">
      <c r="C66" s="24"/>
      <c r="D66" s="25"/>
      <c r="E66" s="25"/>
      <c r="F66" s="25"/>
    </row>
    <row r="67">
      <c r="C67" s="24"/>
      <c r="D67" s="25"/>
      <c r="E67" s="25"/>
      <c r="F67" s="25"/>
    </row>
    <row r="68">
      <c r="C68" s="24"/>
      <c r="D68" s="25"/>
      <c r="E68" s="25"/>
      <c r="F68" s="25"/>
    </row>
    <row r="69">
      <c r="C69" s="24"/>
      <c r="D69" s="25"/>
      <c r="E69" s="25"/>
      <c r="F69" s="25"/>
    </row>
    <row r="70">
      <c r="B70" s="24"/>
      <c r="C70" s="24"/>
      <c r="D70" s="25"/>
      <c r="E70" s="25"/>
      <c r="F70" s="25"/>
    </row>
    <row r="71">
      <c r="D71" s="25"/>
      <c r="E71" s="25"/>
      <c r="F71" s="25"/>
    </row>
    <row r="72">
      <c r="A72" s="24"/>
      <c r="B72" s="24"/>
      <c r="C72" s="24"/>
      <c r="D72" s="25"/>
      <c r="E72" s="25"/>
      <c r="F72" s="25"/>
    </row>
    <row r="73">
      <c r="C73" s="24"/>
      <c r="D73" s="25"/>
      <c r="E73" s="25"/>
      <c r="F73" s="25"/>
    </row>
    <row r="74">
      <c r="B74" s="24"/>
      <c r="C74" s="24"/>
      <c r="D74" s="25"/>
      <c r="E74" s="25"/>
      <c r="F74" s="25"/>
    </row>
    <row r="75">
      <c r="A75" s="24"/>
      <c r="B75" s="24"/>
      <c r="C75" s="24"/>
      <c r="D75" s="25"/>
      <c r="E75" s="25"/>
      <c r="F75" s="25"/>
    </row>
    <row r="76">
      <c r="A76" s="24"/>
      <c r="B76" s="24"/>
      <c r="C76" s="24"/>
      <c r="D76" s="25"/>
      <c r="E76" s="25"/>
      <c r="F76" s="25"/>
    </row>
    <row r="77">
      <c r="A77" s="24"/>
      <c r="B77" s="24"/>
      <c r="C77" s="24"/>
      <c r="D77" s="25"/>
      <c r="E77" s="25"/>
      <c r="F77" s="25"/>
    </row>
    <row r="78">
      <c r="A78" s="24"/>
      <c r="B78" s="24"/>
      <c r="C78" s="24"/>
      <c r="D78" s="25"/>
      <c r="E78" s="25"/>
      <c r="F78" s="25"/>
    </row>
    <row r="79">
      <c r="C79" s="24"/>
      <c r="D79" s="25"/>
      <c r="E79" s="25"/>
      <c r="F79" s="25"/>
    </row>
    <row r="80">
      <c r="B80" s="24"/>
      <c r="C80" s="24"/>
      <c r="D80" s="25"/>
      <c r="E80" s="25"/>
      <c r="F80" s="25"/>
    </row>
    <row r="81">
      <c r="C81" s="24"/>
      <c r="D81" s="25"/>
      <c r="E81" s="25"/>
      <c r="F81" s="25"/>
    </row>
    <row r="82">
      <c r="A82" s="24"/>
      <c r="B82" s="24"/>
      <c r="C82" s="24"/>
      <c r="D82" s="25"/>
      <c r="E82" s="25"/>
      <c r="F82" s="25"/>
    </row>
    <row r="83">
      <c r="C83" s="24"/>
      <c r="D83" s="25"/>
      <c r="E83" s="25"/>
      <c r="F83" s="25"/>
    </row>
    <row r="84">
      <c r="C84" s="24"/>
      <c r="D84" s="25"/>
      <c r="E84" s="25"/>
      <c r="F84" s="25"/>
    </row>
    <row r="85">
      <c r="C85" s="24"/>
      <c r="D85" s="25"/>
      <c r="E85" s="25"/>
      <c r="F85" s="25"/>
    </row>
    <row r="86">
      <c r="A86" s="24"/>
      <c r="B86" s="24"/>
      <c r="C86" s="24"/>
      <c r="D86" s="25"/>
      <c r="E86" s="25"/>
      <c r="F86" s="25"/>
    </row>
    <row r="87">
      <c r="B87" s="24"/>
      <c r="C87" s="24"/>
      <c r="D87" s="25"/>
      <c r="E87" s="25"/>
      <c r="F87" s="25"/>
    </row>
    <row r="88">
      <c r="C88" s="24"/>
      <c r="D88" s="25"/>
      <c r="E88" s="25"/>
      <c r="F88" s="25"/>
    </row>
    <row r="89">
      <c r="C89" s="24"/>
      <c r="D89" s="25"/>
      <c r="E89" s="25"/>
      <c r="F89" s="25"/>
    </row>
    <row r="90">
      <c r="C90" s="24"/>
      <c r="D90" s="25"/>
      <c r="E90" s="25"/>
      <c r="F90" s="25"/>
    </row>
    <row r="91">
      <c r="C91" s="24"/>
      <c r="D91" s="25"/>
      <c r="E91" s="25"/>
      <c r="F91" s="25"/>
    </row>
    <row r="92">
      <c r="C92" s="24"/>
      <c r="D92" s="25"/>
      <c r="E92" s="25"/>
      <c r="F92" s="25"/>
    </row>
    <row r="93">
      <c r="C93" s="24"/>
      <c r="D93" s="25"/>
      <c r="E93" s="25"/>
      <c r="F93" s="25"/>
    </row>
    <row r="94">
      <c r="C94" s="24"/>
      <c r="D94" s="25"/>
      <c r="E94" s="25"/>
      <c r="F94" s="25"/>
    </row>
    <row r="95">
      <c r="C95" s="24"/>
      <c r="D95" s="25"/>
      <c r="E95" s="25"/>
      <c r="F95" s="25"/>
    </row>
    <row r="96">
      <c r="C96" s="24"/>
      <c r="D96" s="25"/>
      <c r="E96" s="25"/>
      <c r="F96" s="25"/>
    </row>
    <row r="97">
      <c r="C97" s="24"/>
      <c r="D97" s="25"/>
      <c r="E97" s="25"/>
      <c r="F97" s="25"/>
    </row>
    <row r="98">
      <c r="C98" s="24"/>
      <c r="D98" s="25"/>
      <c r="E98" s="25"/>
      <c r="F98" s="25"/>
    </row>
    <row r="99">
      <c r="C99" s="24"/>
      <c r="D99" s="25"/>
      <c r="E99" s="25"/>
      <c r="F99" s="25"/>
    </row>
    <row r="100">
      <c r="C100" s="24"/>
      <c r="D100" s="25"/>
      <c r="E100" s="25"/>
      <c r="F100" s="25"/>
    </row>
    <row r="101">
      <c r="A101" s="24"/>
      <c r="B101" s="24"/>
      <c r="C101" s="24"/>
      <c r="D101" s="25"/>
      <c r="E101" s="25"/>
      <c r="F101" s="25"/>
    </row>
    <row r="102">
      <c r="D102" s="25"/>
      <c r="E102" s="25"/>
      <c r="F102" s="25"/>
    </row>
    <row r="103">
      <c r="D103" s="25"/>
      <c r="E103" s="25"/>
      <c r="F103" s="25"/>
    </row>
    <row r="104">
      <c r="D104" s="25"/>
      <c r="E104" s="25"/>
      <c r="F104" s="25"/>
    </row>
    <row r="105">
      <c r="D105" s="25"/>
      <c r="E105" s="25"/>
      <c r="F105" s="25"/>
    </row>
    <row r="106">
      <c r="D106" s="25"/>
      <c r="E106" s="25"/>
      <c r="F106" s="25"/>
    </row>
    <row r="107">
      <c r="D107" s="25"/>
      <c r="E107" s="25"/>
      <c r="F107" s="25"/>
    </row>
    <row r="108">
      <c r="D108" s="25"/>
      <c r="E108" s="25"/>
      <c r="F108" s="25"/>
    </row>
    <row r="109">
      <c r="D109" s="25"/>
      <c r="E109" s="25"/>
      <c r="F109" s="25"/>
    </row>
    <row r="110">
      <c r="D110" s="25"/>
      <c r="E110" s="25"/>
      <c r="F110" s="25"/>
    </row>
    <row r="111">
      <c r="D111" s="25"/>
      <c r="E111" s="25"/>
      <c r="F111" s="25"/>
    </row>
    <row r="112">
      <c r="C112" s="24"/>
      <c r="D112" s="25"/>
      <c r="E112" s="25"/>
      <c r="F112" s="25"/>
    </row>
    <row r="113">
      <c r="C113" s="24"/>
      <c r="D113" s="25"/>
      <c r="E113" s="25"/>
      <c r="F113" s="25"/>
    </row>
    <row r="114">
      <c r="C114" s="24"/>
      <c r="D114" s="25"/>
      <c r="E114" s="25"/>
      <c r="F114" s="25"/>
    </row>
    <row r="115">
      <c r="C115" s="24"/>
      <c r="D115" s="25"/>
      <c r="E115" s="25"/>
      <c r="F115" s="25"/>
    </row>
    <row r="116">
      <c r="C116" s="24"/>
      <c r="D116" s="25"/>
      <c r="E116" s="25"/>
      <c r="F116" s="25"/>
    </row>
    <row r="117">
      <c r="C117" s="24"/>
      <c r="D117" s="25"/>
      <c r="E117" s="25"/>
      <c r="F117" s="25"/>
    </row>
    <row r="118">
      <c r="C118" s="24"/>
      <c r="D118" s="25"/>
      <c r="E118" s="25"/>
      <c r="F118" s="25"/>
    </row>
    <row r="119">
      <c r="C119" s="24"/>
      <c r="D119" s="25"/>
      <c r="E119" s="25"/>
      <c r="F119" s="25"/>
    </row>
    <row r="120">
      <c r="C120" s="24"/>
      <c r="D120" s="25"/>
      <c r="E120" s="25"/>
      <c r="F120" s="25"/>
    </row>
    <row r="121">
      <c r="C121" s="24"/>
      <c r="D121" s="25"/>
      <c r="E121" s="25"/>
      <c r="F121" s="25"/>
    </row>
    <row r="122">
      <c r="C122" s="24"/>
      <c r="D122" s="25"/>
      <c r="E122" s="25"/>
      <c r="F122" s="25"/>
    </row>
    <row r="123">
      <c r="B123" s="24"/>
      <c r="C123" s="24"/>
      <c r="D123" s="25"/>
      <c r="E123" s="25"/>
      <c r="F123" s="25"/>
    </row>
    <row r="124">
      <c r="D124" s="25"/>
      <c r="E124" s="25"/>
      <c r="F124" s="25"/>
    </row>
    <row r="125">
      <c r="D125" s="25"/>
      <c r="E125" s="25"/>
      <c r="F125" s="25"/>
    </row>
    <row r="126">
      <c r="D126" s="25"/>
      <c r="E126" s="25"/>
      <c r="F126" s="25"/>
    </row>
    <row r="127">
      <c r="D127" s="25"/>
      <c r="E127" s="25"/>
      <c r="F127" s="25"/>
    </row>
    <row r="128">
      <c r="A128" s="24"/>
      <c r="B128" s="24"/>
      <c r="C128" s="24"/>
      <c r="D128" s="25"/>
      <c r="E128" s="25"/>
      <c r="F128" s="25"/>
    </row>
    <row r="129">
      <c r="C129" s="24"/>
      <c r="D129" s="25"/>
      <c r="E129" s="25"/>
      <c r="F129" s="25"/>
    </row>
    <row r="130">
      <c r="C130" s="24"/>
      <c r="D130" s="25"/>
      <c r="E130" s="25"/>
      <c r="F130" s="25"/>
    </row>
    <row r="131">
      <c r="B131" s="24"/>
      <c r="C131" s="24"/>
      <c r="D131" s="25"/>
      <c r="E131" s="25"/>
      <c r="F131" s="25"/>
    </row>
    <row r="132">
      <c r="C132" s="24"/>
      <c r="D132" s="25"/>
      <c r="E132" s="25"/>
      <c r="F132" s="25"/>
    </row>
    <row r="133">
      <c r="C133" s="24"/>
      <c r="D133" s="25"/>
      <c r="E133" s="25"/>
      <c r="F133" s="25"/>
    </row>
    <row r="134">
      <c r="A134" s="24"/>
      <c r="B134" s="24"/>
      <c r="C134" s="24"/>
      <c r="D134" s="25"/>
      <c r="E134" s="25"/>
      <c r="F134" s="25"/>
    </row>
    <row r="135">
      <c r="B135" s="24"/>
      <c r="C135" s="24"/>
      <c r="D135" s="25"/>
      <c r="E135" s="25"/>
      <c r="F135" s="25"/>
    </row>
    <row r="136">
      <c r="A136" s="24"/>
      <c r="B136" s="24"/>
      <c r="C136" s="24"/>
      <c r="D136" s="25"/>
      <c r="E136" s="25"/>
      <c r="F136" s="25"/>
    </row>
    <row r="137">
      <c r="A137" s="24"/>
      <c r="D137" s="25"/>
      <c r="E137" s="25"/>
      <c r="F137" s="25"/>
    </row>
    <row r="138">
      <c r="A138" s="24"/>
      <c r="B138" s="24"/>
      <c r="C138" s="24"/>
      <c r="D138" s="25"/>
      <c r="E138" s="25"/>
      <c r="F138" s="25"/>
    </row>
    <row r="139">
      <c r="A139" s="24"/>
      <c r="B139" s="24"/>
      <c r="C139" s="24"/>
      <c r="D139" s="25"/>
      <c r="E139" s="25"/>
      <c r="F139" s="25"/>
    </row>
    <row r="140">
      <c r="C140" s="24"/>
      <c r="D140" s="25"/>
      <c r="E140" s="25"/>
      <c r="F140" s="25"/>
    </row>
    <row r="141">
      <c r="C141" s="24"/>
      <c r="D141" s="25"/>
      <c r="E141" s="25"/>
      <c r="F141" s="25"/>
    </row>
    <row r="142">
      <c r="C142" s="24"/>
      <c r="D142" s="25"/>
      <c r="E142" s="25"/>
      <c r="F142" s="25"/>
    </row>
    <row r="143">
      <c r="B143" s="24"/>
      <c r="C143" s="24"/>
      <c r="D143" s="25"/>
      <c r="E143" s="25"/>
      <c r="F143" s="25"/>
    </row>
    <row r="144">
      <c r="C144" s="24"/>
      <c r="D144" s="25"/>
      <c r="E144" s="25"/>
      <c r="F144" s="25"/>
    </row>
    <row r="145">
      <c r="A145" s="24"/>
      <c r="B145" s="24"/>
      <c r="C145" s="24"/>
      <c r="D145" s="25"/>
      <c r="E145" s="25"/>
      <c r="F145" s="25"/>
    </row>
    <row r="146">
      <c r="C146" s="24"/>
      <c r="D146" s="25"/>
      <c r="E146" s="25"/>
      <c r="F146" s="25"/>
    </row>
    <row r="147">
      <c r="C147" s="24"/>
      <c r="D147" s="25"/>
      <c r="E147" s="25"/>
      <c r="F147" s="25"/>
    </row>
    <row r="148">
      <c r="C148" s="24"/>
      <c r="D148" s="25"/>
      <c r="E148" s="25"/>
      <c r="F148" s="25"/>
    </row>
    <row r="149">
      <c r="A149" s="24"/>
      <c r="B149" s="24"/>
      <c r="C149" s="24"/>
      <c r="D149" s="25"/>
      <c r="E149" s="25"/>
      <c r="F149" s="25"/>
    </row>
    <row r="150">
      <c r="B150" s="24"/>
      <c r="C150" s="24"/>
      <c r="D150" s="25"/>
      <c r="E150" s="25"/>
      <c r="F150" s="25"/>
    </row>
    <row r="151">
      <c r="C151" s="24"/>
      <c r="D151" s="25"/>
      <c r="E151" s="25"/>
      <c r="F151" s="25"/>
    </row>
    <row r="152">
      <c r="C152" s="24"/>
      <c r="D152" s="25"/>
      <c r="E152" s="25"/>
      <c r="F152" s="25"/>
    </row>
    <row r="153">
      <c r="C153" s="24"/>
      <c r="D153" s="25"/>
      <c r="E153" s="25"/>
      <c r="F153" s="25"/>
    </row>
    <row r="154">
      <c r="C154" s="24"/>
      <c r="D154" s="25"/>
      <c r="E154" s="25"/>
      <c r="F154" s="25"/>
    </row>
    <row r="155">
      <c r="C155" s="24"/>
      <c r="D155" s="25"/>
      <c r="E155" s="25"/>
      <c r="F155" s="25"/>
    </row>
    <row r="156">
      <c r="C156" s="24"/>
      <c r="D156" s="25"/>
      <c r="E156" s="25"/>
      <c r="F156" s="25"/>
    </row>
    <row r="157">
      <c r="C157" s="24"/>
      <c r="D157" s="25"/>
      <c r="E157" s="25"/>
      <c r="F157" s="25"/>
    </row>
    <row r="158">
      <c r="C158" s="24"/>
      <c r="D158" s="25"/>
      <c r="E158" s="25"/>
      <c r="F158" s="25"/>
    </row>
    <row r="159">
      <c r="C159" s="24"/>
      <c r="D159" s="25"/>
      <c r="E159" s="25"/>
      <c r="F159" s="25"/>
    </row>
    <row r="160">
      <c r="C160" s="24"/>
      <c r="D160" s="25"/>
      <c r="E160" s="25"/>
      <c r="F160" s="25"/>
    </row>
    <row r="161">
      <c r="C161" s="24"/>
      <c r="D161" s="25"/>
      <c r="E161" s="25"/>
      <c r="F161" s="25"/>
    </row>
    <row r="162">
      <c r="C162" s="24"/>
      <c r="D162" s="25"/>
      <c r="E162" s="25"/>
      <c r="F162" s="25"/>
    </row>
    <row r="163">
      <c r="C163" s="24"/>
      <c r="D163" s="25"/>
      <c r="E163" s="25"/>
      <c r="F163" s="25"/>
    </row>
    <row r="164">
      <c r="A164" s="24"/>
      <c r="B164" s="24"/>
      <c r="C164" s="24"/>
      <c r="D164" s="25"/>
      <c r="E164" s="25"/>
      <c r="F164" s="25"/>
    </row>
    <row r="165">
      <c r="D165" s="25"/>
      <c r="E165" s="25"/>
      <c r="F165" s="25"/>
    </row>
    <row r="166">
      <c r="D166" s="25"/>
      <c r="E166" s="25"/>
      <c r="F166" s="25"/>
    </row>
    <row r="167">
      <c r="D167" s="25"/>
      <c r="E167" s="25"/>
      <c r="F167" s="25"/>
    </row>
    <row r="168">
      <c r="D168" s="25"/>
      <c r="E168" s="25"/>
      <c r="F168" s="25"/>
    </row>
    <row r="169">
      <c r="D169" s="25"/>
      <c r="E169" s="25"/>
      <c r="F169" s="25"/>
    </row>
    <row r="170">
      <c r="D170" s="25"/>
      <c r="E170" s="25"/>
      <c r="F170" s="25"/>
    </row>
    <row r="171">
      <c r="D171" s="25"/>
      <c r="E171" s="25"/>
      <c r="F171" s="25"/>
    </row>
    <row r="172">
      <c r="D172" s="25"/>
      <c r="E172" s="25"/>
      <c r="F172" s="25"/>
    </row>
    <row r="173">
      <c r="D173" s="25"/>
      <c r="E173" s="25"/>
      <c r="F173" s="25"/>
    </row>
    <row r="174">
      <c r="D174" s="25"/>
      <c r="E174" s="25"/>
      <c r="F174" s="25"/>
    </row>
    <row r="175">
      <c r="C175" s="24"/>
      <c r="D175" s="25"/>
      <c r="E175" s="25"/>
      <c r="F175" s="25"/>
    </row>
    <row r="176">
      <c r="C176" s="24"/>
      <c r="D176" s="25"/>
      <c r="E176" s="25"/>
      <c r="F176" s="25"/>
    </row>
    <row r="177">
      <c r="C177" s="24"/>
      <c r="D177" s="25"/>
      <c r="E177" s="25"/>
      <c r="F177" s="25"/>
    </row>
    <row r="178">
      <c r="C178" s="24"/>
      <c r="D178" s="25"/>
      <c r="E178" s="25"/>
      <c r="F178" s="25"/>
    </row>
    <row r="179">
      <c r="C179" s="24"/>
      <c r="D179" s="25"/>
      <c r="E179" s="25"/>
      <c r="F179" s="25"/>
    </row>
    <row r="180">
      <c r="C180" s="24"/>
      <c r="D180" s="25"/>
      <c r="E180" s="25"/>
      <c r="F180" s="25"/>
    </row>
    <row r="181">
      <c r="C181" s="24"/>
      <c r="D181" s="25"/>
      <c r="E181" s="25"/>
      <c r="F181" s="25"/>
    </row>
    <row r="182">
      <c r="C182" s="24"/>
      <c r="D182" s="25"/>
      <c r="E182" s="25"/>
      <c r="F182" s="25"/>
    </row>
    <row r="183">
      <c r="C183" s="24"/>
      <c r="D183" s="25"/>
      <c r="E183" s="25"/>
      <c r="F183" s="25"/>
    </row>
    <row r="184">
      <c r="C184" s="24"/>
      <c r="D184" s="25"/>
      <c r="E184" s="25"/>
      <c r="F184" s="25"/>
    </row>
    <row r="185">
      <c r="C185" s="24"/>
      <c r="D185" s="25"/>
      <c r="E185" s="25"/>
      <c r="F185" s="25"/>
    </row>
    <row r="186">
      <c r="B186" s="24"/>
      <c r="C186" s="24"/>
      <c r="D186" s="25"/>
      <c r="E186" s="25"/>
      <c r="F186" s="25"/>
    </row>
    <row r="187">
      <c r="D187" s="25"/>
      <c r="E187" s="25"/>
      <c r="F187" s="25"/>
    </row>
    <row r="188">
      <c r="D188" s="25"/>
      <c r="E188" s="25"/>
      <c r="F188" s="25"/>
    </row>
    <row r="189">
      <c r="D189" s="25"/>
      <c r="E189" s="25"/>
      <c r="F189" s="25"/>
    </row>
    <row r="190">
      <c r="D190" s="25"/>
      <c r="E190" s="25"/>
      <c r="F190" s="25"/>
    </row>
    <row r="191">
      <c r="A191" s="24"/>
      <c r="B191" s="24"/>
      <c r="C191" s="24"/>
      <c r="D191" s="25"/>
      <c r="E191" s="25"/>
      <c r="F191" s="25"/>
    </row>
    <row r="192">
      <c r="C192" s="24"/>
      <c r="D192" s="25"/>
      <c r="E192" s="25"/>
      <c r="F192" s="25"/>
    </row>
    <row r="193">
      <c r="C193" s="24"/>
      <c r="D193" s="25"/>
      <c r="E193" s="25"/>
      <c r="F193" s="25"/>
    </row>
    <row r="194">
      <c r="B194" s="24"/>
      <c r="C194" s="24"/>
      <c r="D194" s="25"/>
      <c r="E194" s="25"/>
      <c r="F194" s="25"/>
    </row>
    <row r="195">
      <c r="C195" s="24"/>
      <c r="D195" s="25"/>
      <c r="E195" s="25"/>
      <c r="F195" s="25"/>
    </row>
    <row r="196">
      <c r="C196" s="24"/>
      <c r="D196" s="25"/>
      <c r="E196" s="25"/>
      <c r="F196" s="25"/>
    </row>
    <row r="197">
      <c r="A197" s="24"/>
      <c r="B197" s="24"/>
      <c r="C197" s="24"/>
      <c r="D197" s="25"/>
      <c r="E197" s="25"/>
      <c r="F197" s="25"/>
    </row>
    <row r="198">
      <c r="B198" s="24"/>
      <c r="C198" s="24"/>
      <c r="D198" s="25"/>
      <c r="E198" s="25"/>
      <c r="F198" s="25"/>
    </row>
    <row r="199">
      <c r="A199" s="24"/>
      <c r="B199" s="24"/>
      <c r="C199" s="24"/>
      <c r="D199" s="25"/>
      <c r="E199" s="25"/>
      <c r="F199" s="25"/>
    </row>
    <row r="200">
      <c r="A200" s="24"/>
      <c r="D200" s="25"/>
      <c r="E200" s="25"/>
      <c r="F200" s="25"/>
    </row>
    <row r="201">
      <c r="A201" s="24"/>
      <c r="B201" s="24"/>
      <c r="C201" s="24"/>
      <c r="D201" s="25"/>
      <c r="E201" s="25"/>
      <c r="F201" s="25"/>
    </row>
    <row r="202">
      <c r="A202" s="24"/>
      <c r="B202" s="24"/>
      <c r="C202" s="24"/>
      <c r="D202" s="25"/>
      <c r="E202" s="25"/>
      <c r="F202" s="25"/>
    </row>
    <row r="203">
      <c r="C203" s="24"/>
      <c r="D203" s="25"/>
      <c r="E203" s="25"/>
      <c r="F203" s="25"/>
    </row>
    <row r="204">
      <c r="C204" s="24"/>
      <c r="D204" s="25"/>
      <c r="E204" s="25"/>
      <c r="F204" s="25"/>
    </row>
    <row r="205">
      <c r="C205" s="24"/>
      <c r="D205" s="25"/>
      <c r="E205" s="25"/>
      <c r="F205" s="25"/>
    </row>
    <row r="206">
      <c r="B206" s="24"/>
      <c r="C206" s="24"/>
      <c r="D206" s="25"/>
      <c r="E206" s="25"/>
      <c r="F206" s="25"/>
    </row>
    <row r="207">
      <c r="C207" s="24"/>
      <c r="D207" s="25"/>
      <c r="E207" s="25"/>
      <c r="F207" s="25"/>
    </row>
    <row r="208">
      <c r="A208" s="24"/>
      <c r="B208" s="24"/>
      <c r="C208" s="24"/>
      <c r="D208" s="25"/>
      <c r="E208" s="25"/>
      <c r="F208" s="25"/>
    </row>
    <row r="209">
      <c r="C209" s="24"/>
      <c r="D209" s="25"/>
      <c r="E209" s="25"/>
      <c r="F209" s="25"/>
    </row>
    <row r="210">
      <c r="C210" s="24"/>
      <c r="D210" s="25"/>
      <c r="E210" s="25"/>
      <c r="F210" s="25"/>
    </row>
    <row r="211">
      <c r="C211" s="24"/>
      <c r="D211" s="25"/>
      <c r="E211" s="25"/>
      <c r="F211" s="25"/>
    </row>
    <row r="212">
      <c r="A212" s="24"/>
      <c r="B212" s="24"/>
      <c r="C212" s="24"/>
      <c r="D212" s="25"/>
      <c r="E212" s="25"/>
      <c r="F212" s="25"/>
    </row>
    <row r="213">
      <c r="B213" s="24"/>
      <c r="C213" s="24"/>
      <c r="D213" s="25"/>
      <c r="E213" s="25"/>
      <c r="F213" s="25"/>
    </row>
    <row r="214">
      <c r="C214" s="24"/>
      <c r="D214" s="25"/>
      <c r="E214" s="25"/>
      <c r="F214" s="25"/>
    </row>
    <row r="215">
      <c r="C215" s="24"/>
      <c r="D215" s="25"/>
      <c r="E215" s="25"/>
      <c r="F215" s="25"/>
    </row>
    <row r="216">
      <c r="C216" s="24"/>
      <c r="D216" s="25"/>
      <c r="E216" s="25"/>
      <c r="F216" s="25"/>
    </row>
    <row r="217">
      <c r="C217" s="24"/>
      <c r="D217" s="25"/>
      <c r="E217" s="25"/>
      <c r="F217" s="25"/>
    </row>
    <row r="218">
      <c r="C218" s="24"/>
      <c r="D218" s="25"/>
      <c r="E218" s="25"/>
      <c r="F218" s="25"/>
    </row>
    <row r="219">
      <c r="C219" s="24"/>
      <c r="D219" s="25"/>
      <c r="E219" s="25"/>
      <c r="F219" s="25"/>
    </row>
    <row r="220">
      <c r="C220" s="24"/>
      <c r="D220" s="25"/>
      <c r="E220" s="25"/>
      <c r="F220" s="25"/>
    </row>
    <row r="221">
      <c r="C221" s="24"/>
      <c r="D221" s="25"/>
      <c r="E221" s="25"/>
      <c r="F221" s="25"/>
    </row>
    <row r="222">
      <c r="C222" s="24"/>
      <c r="D222" s="25"/>
      <c r="E222" s="25"/>
      <c r="F222" s="25"/>
    </row>
    <row r="223">
      <c r="C223" s="24"/>
      <c r="D223" s="25"/>
      <c r="E223" s="25"/>
      <c r="F223" s="25"/>
    </row>
    <row r="224">
      <c r="C224" s="24"/>
      <c r="D224" s="25"/>
      <c r="E224" s="25"/>
      <c r="F224" s="25"/>
    </row>
    <row r="225">
      <c r="C225" s="24"/>
      <c r="D225" s="25"/>
      <c r="E225" s="25"/>
      <c r="F225" s="25"/>
    </row>
    <row r="226">
      <c r="C226" s="24"/>
      <c r="D226" s="25"/>
      <c r="E226" s="25"/>
      <c r="F226" s="25"/>
    </row>
    <row r="227">
      <c r="A227" s="24"/>
      <c r="B227" s="24"/>
      <c r="C227" s="24"/>
      <c r="D227" s="25"/>
      <c r="E227" s="25"/>
      <c r="F227" s="25"/>
    </row>
    <row r="228">
      <c r="D228" s="25"/>
      <c r="E228" s="25"/>
      <c r="F228" s="25"/>
    </row>
    <row r="229">
      <c r="D229" s="25"/>
      <c r="E229" s="25"/>
      <c r="F229" s="25"/>
    </row>
    <row r="230">
      <c r="D230" s="25"/>
      <c r="E230" s="25"/>
      <c r="F230" s="25"/>
    </row>
    <row r="231">
      <c r="D231" s="25"/>
      <c r="E231" s="25"/>
      <c r="F231" s="25"/>
    </row>
    <row r="232">
      <c r="D232" s="25"/>
      <c r="E232" s="25"/>
      <c r="F232" s="25"/>
    </row>
    <row r="233">
      <c r="D233" s="25"/>
      <c r="E233" s="25"/>
      <c r="F233" s="25"/>
    </row>
    <row r="234">
      <c r="D234" s="25"/>
      <c r="E234" s="25"/>
      <c r="F234" s="25"/>
    </row>
    <row r="235">
      <c r="D235" s="25"/>
      <c r="E235" s="25"/>
      <c r="F235" s="25"/>
    </row>
    <row r="236">
      <c r="D236" s="25"/>
      <c r="E236" s="25"/>
      <c r="F236" s="25"/>
    </row>
    <row r="237">
      <c r="D237" s="25"/>
      <c r="E237" s="25"/>
      <c r="F237" s="25"/>
    </row>
    <row r="238">
      <c r="C238" s="24"/>
      <c r="D238" s="25"/>
      <c r="E238" s="25"/>
      <c r="F238" s="25"/>
    </row>
    <row r="239">
      <c r="C239" s="24"/>
      <c r="D239" s="25"/>
      <c r="E239" s="25"/>
      <c r="F239" s="25"/>
    </row>
    <row r="240">
      <c r="C240" s="24"/>
      <c r="D240" s="25"/>
      <c r="E240" s="25"/>
      <c r="F240" s="25"/>
    </row>
    <row r="241">
      <c r="C241" s="24"/>
      <c r="D241" s="25"/>
      <c r="E241" s="25"/>
      <c r="F241" s="25"/>
    </row>
    <row r="242">
      <c r="C242" s="24"/>
      <c r="D242" s="25"/>
      <c r="E242" s="25"/>
      <c r="F242" s="25"/>
    </row>
    <row r="243">
      <c r="C243" s="24"/>
      <c r="D243" s="25"/>
      <c r="E243" s="25"/>
      <c r="F243" s="25"/>
    </row>
    <row r="244">
      <c r="C244" s="24"/>
      <c r="D244" s="25"/>
      <c r="E244" s="25"/>
      <c r="F244" s="25"/>
    </row>
    <row r="245">
      <c r="C245" s="24"/>
      <c r="D245" s="25"/>
      <c r="E245" s="25"/>
      <c r="F245" s="25"/>
    </row>
    <row r="246">
      <c r="C246" s="24"/>
      <c r="D246" s="25"/>
      <c r="E246" s="25"/>
      <c r="F246" s="25"/>
    </row>
    <row r="247">
      <c r="C247" s="24"/>
      <c r="D247" s="25"/>
      <c r="E247" s="25"/>
      <c r="F247" s="25"/>
    </row>
    <row r="248">
      <c r="C248" s="24"/>
      <c r="D248" s="25"/>
      <c r="E248" s="25"/>
      <c r="F248" s="25"/>
    </row>
    <row r="249">
      <c r="B249" s="24"/>
      <c r="C249" s="24"/>
      <c r="D249" s="25"/>
      <c r="E249" s="25"/>
      <c r="F249" s="25"/>
    </row>
    <row r="250">
      <c r="D250" s="25"/>
      <c r="E250" s="25"/>
      <c r="F250" s="25"/>
    </row>
    <row r="251">
      <c r="D251" s="25"/>
      <c r="E251" s="25"/>
      <c r="F251" s="25"/>
    </row>
    <row r="252">
      <c r="D252" s="25"/>
      <c r="E252" s="25"/>
      <c r="F252" s="25"/>
    </row>
    <row r="253">
      <c r="D253" s="25"/>
      <c r="E253" s="25"/>
      <c r="F253" s="25"/>
    </row>
    <row r="254">
      <c r="A254" s="24"/>
      <c r="B254" s="24"/>
      <c r="C254" s="24"/>
      <c r="D254" s="25"/>
      <c r="E254" s="25"/>
      <c r="F254" s="25"/>
    </row>
    <row r="255">
      <c r="C255" s="24"/>
      <c r="D255" s="25"/>
      <c r="E255" s="25"/>
      <c r="F255" s="25"/>
    </row>
    <row r="256">
      <c r="C256" s="24"/>
      <c r="D256" s="25"/>
      <c r="E256" s="25"/>
      <c r="F256" s="25"/>
    </row>
    <row r="257">
      <c r="B257" s="24"/>
      <c r="C257" s="24"/>
      <c r="D257" s="25"/>
      <c r="E257" s="25"/>
      <c r="F257" s="25"/>
    </row>
    <row r="258">
      <c r="C258" s="24"/>
      <c r="D258" s="25"/>
      <c r="E258" s="25"/>
      <c r="F258" s="25"/>
    </row>
    <row r="259">
      <c r="C259" s="24"/>
      <c r="D259" s="25"/>
      <c r="E259" s="25"/>
      <c r="F259" s="25"/>
    </row>
    <row r="260">
      <c r="A260" s="24"/>
      <c r="B260" s="24"/>
      <c r="C260" s="24"/>
      <c r="D260" s="25"/>
      <c r="E260" s="25"/>
      <c r="F260" s="25"/>
    </row>
    <row r="261">
      <c r="B261" s="24"/>
      <c r="C261" s="24"/>
      <c r="D261" s="25"/>
      <c r="E261" s="25"/>
      <c r="F261" s="25"/>
    </row>
    <row r="262">
      <c r="A262" s="24"/>
      <c r="B262" s="24"/>
      <c r="C262" s="24"/>
      <c r="D262" s="25"/>
      <c r="E262" s="25"/>
      <c r="F262" s="25"/>
    </row>
    <row r="263">
      <c r="A263" s="24"/>
      <c r="D263" s="25"/>
      <c r="E263" s="25"/>
      <c r="F263" s="25"/>
    </row>
    <row r="264">
      <c r="A264" s="24"/>
      <c r="B264" s="24"/>
      <c r="C264" s="24"/>
      <c r="D264" s="25"/>
      <c r="E264" s="25"/>
      <c r="F264" s="25"/>
    </row>
    <row r="265">
      <c r="A265" s="24"/>
      <c r="B265" s="24"/>
      <c r="C265" s="24"/>
      <c r="D265" s="25"/>
      <c r="E265" s="25"/>
      <c r="F265" s="25"/>
    </row>
    <row r="266">
      <c r="C266" s="24"/>
      <c r="D266" s="25"/>
      <c r="E266" s="25"/>
      <c r="F266" s="25"/>
    </row>
    <row r="267">
      <c r="C267" s="24"/>
      <c r="D267" s="25"/>
      <c r="E267" s="25"/>
      <c r="F267" s="25"/>
    </row>
    <row r="268">
      <c r="C268" s="24"/>
      <c r="D268" s="25"/>
      <c r="E268" s="25"/>
      <c r="F268" s="25"/>
    </row>
    <row r="269">
      <c r="B269" s="24"/>
      <c r="C269" s="24"/>
      <c r="D269" s="25"/>
      <c r="E269" s="25"/>
      <c r="F269" s="25"/>
    </row>
    <row r="270">
      <c r="C270" s="24"/>
      <c r="D270" s="25"/>
      <c r="E270" s="25"/>
      <c r="F270" s="25"/>
    </row>
    <row r="271">
      <c r="A271" s="24"/>
      <c r="B271" s="24"/>
      <c r="C271" s="24"/>
      <c r="D271" s="25"/>
      <c r="E271" s="25"/>
      <c r="F271" s="25"/>
    </row>
    <row r="272">
      <c r="C272" s="24"/>
      <c r="D272" s="25"/>
      <c r="E272" s="25"/>
      <c r="F272" s="25"/>
    </row>
    <row r="273">
      <c r="C273" s="24"/>
      <c r="D273" s="25"/>
      <c r="E273" s="25"/>
      <c r="F273" s="25"/>
    </row>
    <row r="274">
      <c r="C274" s="24"/>
      <c r="D274" s="25"/>
      <c r="E274" s="25"/>
      <c r="F274" s="25"/>
    </row>
    <row r="275">
      <c r="A275" s="24"/>
      <c r="B275" s="24"/>
      <c r="C275" s="24"/>
      <c r="D275" s="25"/>
      <c r="E275" s="25"/>
      <c r="F275" s="25"/>
    </row>
    <row r="276">
      <c r="B276" s="24"/>
      <c r="C276" s="24"/>
      <c r="D276" s="25"/>
      <c r="E276" s="25"/>
      <c r="F276" s="25"/>
    </row>
    <row r="277">
      <c r="C277" s="24"/>
      <c r="D277" s="25"/>
      <c r="E277" s="25"/>
      <c r="F277" s="25"/>
    </row>
    <row r="278">
      <c r="C278" s="24"/>
      <c r="D278" s="25"/>
      <c r="E278" s="25"/>
      <c r="F278" s="25"/>
    </row>
    <row r="279">
      <c r="C279" s="24"/>
      <c r="D279" s="25"/>
      <c r="E279" s="25"/>
      <c r="F279" s="25"/>
    </row>
    <row r="280">
      <c r="C280" s="24"/>
      <c r="D280" s="25"/>
      <c r="E280" s="25"/>
      <c r="F280" s="25"/>
    </row>
    <row r="281">
      <c r="C281" s="24"/>
      <c r="D281" s="25"/>
      <c r="E281" s="25"/>
      <c r="F281" s="25"/>
    </row>
    <row r="282">
      <c r="C282" s="24"/>
      <c r="D282" s="25"/>
      <c r="E282" s="25"/>
      <c r="F282" s="25"/>
    </row>
    <row r="283">
      <c r="C283" s="24"/>
      <c r="D283" s="25"/>
      <c r="E283" s="25"/>
      <c r="F283" s="25"/>
    </row>
    <row r="284">
      <c r="C284" s="24"/>
      <c r="D284" s="25"/>
      <c r="E284" s="25"/>
      <c r="F284" s="25"/>
    </row>
    <row r="285">
      <c r="C285" s="24"/>
      <c r="D285" s="25"/>
      <c r="E285" s="25"/>
      <c r="F285" s="25"/>
    </row>
    <row r="286">
      <c r="C286" s="24"/>
      <c r="D286" s="25"/>
      <c r="E286" s="25"/>
      <c r="F286" s="25"/>
    </row>
    <row r="287">
      <c r="C287" s="24"/>
      <c r="D287" s="25"/>
      <c r="E287" s="25"/>
      <c r="F287" s="25"/>
    </row>
    <row r="288">
      <c r="C288" s="24"/>
      <c r="D288" s="25"/>
      <c r="E288" s="25"/>
      <c r="F288" s="25"/>
    </row>
    <row r="289">
      <c r="C289" s="24"/>
      <c r="D289" s="25"/>
      <c r="E289" s="25"/>
      <c r="F289" s="25"/>
    </row>
    <row r="290">
      <c r="A290" s="24"/>
      <c r="B290" s="24"/>
      <c r="C290" s="24"/>
      <c r="D290" s="25"/>
      <c r="E290" s="25"/>
      <c r="F290" s="25"/>
    </row>
    <row r="291">
      <c r="D291" s="25"/>
      <c r="E291" s="25"/>
      <c r="F291" s="25"/>
    </row>
    <row r="292">
      <c r="D292" s="25"/>
      <c r="E292" s="25"/>
      <c r="F292" s="25"/>
    </row>
    <row r="293">
      <c r="D293" s="25"/>
      <c r="E293" s="25"/>
      <c r="F293" s="25"/>
    </row>
    <row r="294">
      <c r="D294" s="25"/>
      <c r="E294" s="25"/>
      <c r="F294" s="25"/>
    </row>
    <row r="295">
      <c r="D295" s="25"/>
      <c r="E295" s="25"/>
      <c r="F295" s="25"/>
    </row>
    <row r="296">
      <c r="D296" s="25"/>
      <c r="E296" s="25"/>
      <c r="F296" s="25"/>
    </row>
    <row r="297">
      <c r="D297" s="25"/>
      <c r="E297" s="25"/>
      <c r="F297" s="25"/>
    </row>
    <row r="298">
      <c r="D298" s="25"/>
      <c r="E298" s="25"/>
      <c r="F298" s="25"/>
    </row>
    <row r="299">
      <c r="D299" s="25"/>
      <c r="E299" s="25"/>
      <c r="F299" s="25"/>
    </row>
    <row r="300">
      <c r="D300" s="25"/>
      <c r="E300" s="25"/>
      <c r="F300" s="25"/>
    </row>
    <row r="301">
      <c r="C301" s="24"/>
      <c r="D301" s="25"/>
      <c r="E301" s="25"/>
      <c r="F301" s="25"/>
    </row>
    <row r="302">
      <c r="C302" s="24"/>
      <c r="D302" s="25"/>
      <c r="E302" s="25"/>
      <c r="F302" s="25"/>
    </row>
    <row r="303">
      <c r="C303" s="24"/>
      <c r="D303" s="25"/>
      <c r="E303" s="25"/>
      <c r="F303" s="25"/>
    </row>
    <row r="304">
      <c r="C304" s="24"/>
      <c r="D304" s="25"/>
      <c r="E304" s="25"/>
      <c r="F304" s="25"/>
    </row>
    <row r="305">
      <c r="C305" s="24"/>
      <c r="D305" s="25"/>
      <c r="E305" s="25"/>
      <c r="F305" s="25"/>
    </row>
    <row r="306">
      <c r="C306" s="24"/>
      <c r="D306" s="25"/>
      <c r="E306" s="25"/>
      <c r="F306" s="25"/>
    </row>
    <row r="307">
      <c r="C307" s="24"/>
      <c r="D307" s="25"/>
      <c r="E307" s="25"/>
      <c r="F307" s="25"/>
    </row>
    <row r="308">
      <c r="C308" s="24"/>
      <c r="D308" s="25"/>
      <c r="E308" s="25"/>
      <c r="F308" s="25"/>
    </row>
    <row r="309">
      <c r="C309" s="24"/>
      <c r="D309" s="25"/>
      <c r="E309" s="25"/>
      <c r="F309" s="25"/>
    </row>
    <row r="310">
      <c r="C310" s="24"/>
      <c r="D310" s="25"/>
      <c r="E310" s="25"/>
      <c r="F310" s="25"/>
    </row>
    <row r="311">
      <c r="C311" s="24"/>
      <c r="D311" s="25"/>
      <c r="E311" s="25"/>
      <c r="F311" s="25"/>
    </row>
    <row r="312">
      <c r="B312" s="24"/>
      <c r="C312" s="24"/>
      <c r="D312" s="25"/>
      <c r="E312" s="25"/>
      <c r="F312" s="25"/>
    </row>
    <row r="313">
      <c r="D313" s="25"/>
      <c r="E313" s="25"/>
      <c r="F313" s="25"/>
    </row>
    <row r="314">
      <c r="D314" s="25"/>
      <c r="E314" s="25"/>
      <c r="F314" s="25"/>
    </row>
    <row r="315">
      <c r="D315" s="25"/>
      <c r="E315" s="25"/>
      <c r="F315" s="25"/>
    </row>
    <row r="316">
      <c r="D316" s="25"/>
      <c r="E316" s="25"/>
      <c r="F316" s="25"/>
    </row>
    <row r="317">
      <c r="A317" s="24"/>
      <c r="B317" s="24"/>
      <c r="C317" s="24"/>
      <c r="D317" s="25"/>
      <c r="E317" s="25"/>
      <c r="F317" s="25"/>
    </row>
    <row r="318">
      <c r="C318" s="24"/>
      <c r="D318" s="25"/>
      <c r="E318" s="25"/>
      <c r="F318" s="25"/>
    </row>
    <row r="319">
      <c r="C319" s="24"/>
      <c r="D319" s="25"/>
      <c r="E319" s="25"/>
      <c r="F319" s="25"/>
    </row>
    <row r="320">
      <c r="B320" s="24"/>
      <c r="C320" s="24"/>
      <c r="D320" s="25"/>
      <c r="E320" s="25"/>
      <c r="F320" s="25"/>
    </row>
    <row r="321">
      <c r="C321" s="24"/>
      <c r="D321" s="25"/>
      <c r="E321" s="25"/>
      <c r="F321" s="25"/>
    </row>
    <row r="322">
      <c r="C322" s="24"/>
      <c r="D322" s="25"/>
      <c r="E322" s="25"/>
      <c r="F322" s="25"/>
    </row>
    <row r="323">
      <c r="A323" s="24"/>
      <c r="B323" s="24"/>
      <c r="C323" s="24"/>
      <c r="D323" s="25"/>
      <c r="E323" s="25"/>
      <c r="F323" s="25"/>
    </row>
    <row r="324">
      <c r="B324" s="24"/>
      <c r="C324" s="24"/>
      <c r="D324" s="25"/>
      <c r="E324" s="25"/>
      <c r="F324" s="25"/>
    </row>
    <row r="325">
      <c r="A325" s="24"/>
      <c r="B325" s="24"/>
      <c r="C325" s="24"/>
      <c r="D325" s="25"/>
      <c r="E325" s="25"/>
      <c r="F325" s="25"/>
    </row>
    <row r="326">
      <c r="A326" s="24"/>
      <c r="D326" s="25"/>
      <c r="E326" s="25"/>
      <c r="F326" s="25"/>
    </row>
    <row r="327">
      <c r="A327" s="24"/>
      <c r="B327" s="24"/>
      <c r="C327" s="24"/>
      <c r="D327" s="25"/>
      <c r="E327" s="25"/>
      <c r="F327" s="25"/>
    </row>
    <row r="328">
      <c r="A328" s="24"/>
      <c r="B328" s="24"/>
      <c r="C328" s="24"/>
      <c r="D328" s="25"/>
      <c r="E328" s="25"/>
      <c r="F328" s="25"/>
    </row>
    <row r="329">
      <c r="C329" s="24"/>
      <c r="D329" s="25"/>
      <c r="E329" s="25"/>
      <c r="F329" s="25"/>
    </row>
    <row r="330">
      <c r="C330" s="24"/>
      <c r="D330" s="25"/>
      <c r="E330" s="25"/>
      <c r="F330" s="25"/>
    </row>
    <row r="331">
      <c r="C331" s="24"/>
      <c r="D331" s="25"/>
      <c r="E331" s="25"/>
      <c r="F331" s="25"/>
    </row>
    <row r="332">
      <c r="B332" s="24"/>
      <c r="C332" s="24"/>
      <c r="D332" s="25"/>
      <c r="E332" s="25"/>
      <c r="F332" s="25"/>
    </row>
    <row r="333">
      <c r="C333" s="24"/>
      <c r="D333" s="25"/>
      <c r="E333" s="25"/>
      <c r="F333" s="25"/>
    </row>
    <row r="334">
      <c r="A334" s="24"/>
      <c r="B334" s="24"/>
      <c r="C334" s="24"/>
      <c r="D334" s="25"/>
      <c r="E334" s="25"/>
      <c r="F334" s="25"/>
    </row>
    <row r="335">
      <c r="C335" s="24"/>
      <c r="D335" s="25"/>
      <c r="E335" s="25"/>
      <c r="F335" s="25"/>
    </row>
    <row r="336">
      <c r="C336" s="24"/>
      <c r="D336" s="25"/>
      <c r="E336" s="25"/>
      <c r="F336" s="25"/>
    </row>
    <row r="337">
      <c r="C337" s="24"/>
      <c r="D337" s="25"/>
      <c r="E337" s="25"/>
      <c r="F337" s="25"/>
    </row>
    <row r="338">
      <c r="A338" s="24"/>
      <c r="B338" s="24"/>
      <c r="C338" s="24"/>
      <c r="D338" s="25"/>
      <c r="E338" s="25"/>
      <c r="F338" s="25"/>
    </row>
    <row r="339">
      <c r="B339" s="24"/>
      <c r="C339" s="24"/>
      <c r="D339" s="25"/>
      <c r="E339" s="25"/>
      <c r="F339" s="25"/>
    </row>
    <row r="340">
      <c r="C340" s="24"/>
      <c r="D340" s="25"/>
      <c r="E340" s="25"/>
      <c r="F340" s="25"/>
    </row>
    <row r="341">
      <c r="C341" s="24"/>
      <c r="D341" s="25"/>
      <c r="E341" s="25"/>
      <c r="F341" s="25"/>
    </row>
    <row r="342">
      <c r="C342" s="24"/>
      <c r="D342" s="25"/>
      <c r="E342" s="25"/>
      <c r="F342" s="25"/>
    </row>
    <row r="343">
      <c r="C343" s="24"/>
      <c r="D343" s="25"/>
      <c r="E343" s="25"/>
      <c r="F343" s="25"/>
    </row>
    <row r="344">
      <c r="C344" s="24"/>
      <c r="D344" s="25"/>
      <c r="E344" s="25"/>
      <c r="F344" s="25"/>
    </row>
    <row r="345">
      <c r="C345" s="24"/>
      <c r="D345" s="25"/>
      <c r="E345" s="25"/>
      <c r="F345" s="25"/>
    </row>
    <row r="346">
      <c r="C346" s="24"/>
      <c r="D346" s="25"/>
      <c r="E346" s="25"/>
      <c r="F346" s="25"/>
    </row>
    <row r="347">
      <c r="C347" s="24"/>
      <c r="D347" s="25"/>
      <c r="E347" s="25"/>
      <c r="F347" s="25"/>
    </row>
    <row r="348">
      <c r="C348" s="24"/>
      <c r="D348" s="25"/>
      <c r="E348" s="25"/>
      <c r="F348" s="25"/>
    </row>
    <row r="349">
      <c r="C349" s="24"/>
      <c r="D349" s="25"/>
      <c r="E349" s="25"/>
      <c r="F349" s="25"/>
    </row>
    <row r="350">
      <c r="C350" s="24"/>
      <c r="D350" s="25"/>
      <c r="E350" s="25"/>
      <c r="F350" s="25"/>
    </row>
    <row r="351">
      <c r="C351" s="24"/>
      <c r="D351" s="25"/>
      <c r="E351" s="25"/>
      <c r="F351" s="25"/>
    </row>
    <row r="352">
      <c r="C352" s="24"/>
      <c r="D352" s="25"/>
      <c r="E352" s="25"/>
      <c r="F352" s="25"/>
    </row>
    <row r="353">
      <c r="A353" s="24"/>
      <c r="B353" s="24"/>
      <c r="C353" s="24"/>
      <c r="D353" s="25"/>
      <c r="E353" s="25"/>
      <c r="F353" s="25"/>
    </row>
    <row r="354">
      <c r="D354" s="25"/>
      <c r="E354" s="25"/>
      <c r="F354" s="25"/>
    </row>
    <row r="355">
      <c r="D355" s="25"/>
      <c r="E355" s="25"/>
      <c r="F355" s="25"/>
    </row>
    <row r="356">
      <c r="D356" s="25"/>
      <c r="E356" s="25"/>
      <c r="F356" s="25"/>
    </row>
    <row r="357">
      <c r="D357" s="25"/>
      <c r="E357" s="25"/>
      <c r="F357" s="25"/>
    </row>
    <row r="358">
      <c r="D358" s="25"/>
      <c r="E358" s="25"/>
      <c r="F358" s="25"/>
    </row>
    <row r="359">
      <c r="D359" s="25"/>
      <c r="E359" s="25"/>
      <c r="F359" s="25"/>
    </row>
    <row r="360">
      <c r="D360" s="25"/>
      <c r="E360" s="25"/>
      <c r="F360" s="25"/>
    </row>
    <row r="361">
      <c r="D361" s="25"/>
      <c r="E361" s="25"/>
      <c r="F361" s="25"/>
    </row>
    <row r="362">
      <c r="D362" s="25"/>
      <c r="E362" s="25"/>
      <c r="F362" s="25"/>
    </row>
    <row r="363">
      <c r="D363" s="25"/>
      <c r="E363" s="25"/>
      <c r="F363" s="25"/>
    </row>
    <row r="364">
      <c r="C364" s="24"/>
      <c r="D364" s="25"/>
      <c r="E364" s="25"/>
      <c r="F364" s="25"/>
    </row>
    <row r="365">
      <c r="C365" s="24"/>
      <c r="D365" s="25"/>
      <c r="E365" s="25"/>
      <c r="F365" s="25"/>
    </row>
    <row r="366">
      <c r="C366" s="24"/>
      <c r="D366" s="25"/>
      <c r="E366" s="25"/>
      <c r="F366" s="25"/>
    </row>
    <row r="367">
      <c r="C367" s="24"/>
      <c r="D367" s="25"/>
      <c r="E367" s="25"/>
      <c r="F367" s="25"/>
    </row>
    <row r="368">
      <c r="C368" s="24"/>
      <c r="D368" s="25"/>
      <c r="E368" s="25"/>
      <c r="F368" s="25"/>
    </row>
    <row r="369">
      <c r="C369" s="24"/>
      <c r="D369" s="25"/>
      <c r="E369" s="25"/>
      <c r="F369" s="25"/>
    </row>
    <row r="370">
      <c r="C370" s="24"/>
      <c r="D370" s="25"/>
      <c r="E370" s="25"/>
      <c r="F370" s="25"/>
    </row>
    <row r="371">
      <c r="C371" s="24"/>
      <c r="D371" s="25"/>
      <c r="E371" s="25"/>
      <c r="F371" s="25"/>
    </row>
    <row r="372">
      <c r="C372" s="24"/>
      <c r="D372" s="25"/>
      <c r="E372" s="25"/>
      <c r="F372" s="25"/>
    </row>
    <row r="373">
      <c r="C373" s="24"/>
      <c r="D373" s="25"/>
      <c r="E373" s="25"/>
      <c r="F373" s="25"/>
    </row>
    <row r="374">
      <c r="C374" s="24"/>
      <c r="D374" s="25"/>
      <c r="E374" s="25"/>
      <c r="F374" s="25"/>
    </row>
    <row r="375">
      <c r="B375" s="24"/>
      <c r="C375" s="24"/>
      <c r="D375" s="25"/>
      <c r="E375" s="25"/>
      <c r="F375" s="25"/>
    </row>
    <row r="376">
      <c r="D376" s="25"/>
      <c r="E376" s="25"/>
      <c r="F376" s="25"/>
    </row>
    <row r="377">
      <c r="D377" s="25"/>
      <c r="E377" s="25"/>
      <c r="F377" s="25"/>
    </row>
    <row r="378">
      <c r="D378" s="25"/>
      <c r="E378" s="25"/>
      <c r="F378" s="25"/>
    </row>
    <row r="379">
      <c r="D379" s="25"/>
      <c r="E379" s="25"/>
      <c r="F379" s="25"/>
    </row>
    <row r="380">
      <c r="A380" s="24"/>
      <c r="B380" s="24"/>
      <c r="C380" s="24"/>
      <c r="D380" s="25"/>
      <c r="E380" s="25"/>
      <c r="F380" s="25"/>
    </row>
    <row r="381">
      <c r="C381" s="24"/>
      <c r="D381" s="25"/>
      <c r="E381" s="25"/>
      <c r="F381" s="25"/>
    </row>
    <row r="382">
      <c r="C382" s="24"/>
      <c r="D382" s="25"/>
      <c r="E382" s="25"/>
      <c r="F382" s="25"/>
    </row>
    <row r="383">
      <c r="B383" s="24"/>
      <c r="C383" s="24"/>
      <c r="D383" s="25"/>
      <c r="E383" s="25"/>
      <c r="F383" s="25"/>
    </row>
    <row r="384">
      <c r="C384" s="24"/>
      <c r="D384" s="25"/>
      <c r="E384" s="25"/>
      <c r="F384" s="25"/>
    </row>
    <row r="385">
      <c r="C385" s="24"/>
      <c r="D385" s="25"/>
      <c r="E385" s="25"/>
      <c r="F385" s="25"/>
    </row>
    <row r="386">
      <c r="A386" s="24"/>
      <c r="B386" s="24"/>
      <c r="C386" s="24"/>
      <c r="D386" s="25"/>
      <c r="E386" s="25"/>
      <c r="F386" s="25"/>
    </row>
    <row r="387">
      <c r="B387" s="24"/>
      <c r="C387" s="24"/>
      <c r="D387" s="25"/>
      <c r="E387" s="25"/>
      <c r="F387" s="25"/>
    </row>
    <row r="388">
      <c r="A388" s="24"/>
      <c r="B388" s="24"/>
      <c r="C388" s="24"/>
      <c r="D388" s="25"/>
      <c r="E388" s="25"/>
      <c r="F388" s="25"/>
    </row>
    <row r="389">
      <c r="A389" s="24"/>
      <c r="D389" s="25"/>
      <c r="E389" s="25"/>
      <c r="F389" s="25"/>
    </row>
    <row r="390">
      <c r="A390" s="24"/>
      <c r="B390" s="24"/>
      <c r="C390" s="24"/>
      <c r="D390" s="25"/>
      <c r="E390" s="25"/>
      <c r="F390" s="25"/>
    </row>
    <row r="391">
      <c r="A391" s="24"/>
      <c r="B391" s="24"/>
      <c r="C391" s="24"/>
      <c r="D391" s="25"/>
      <c r="E391" s="25"/>
      <c r="F391" s="25"/>
    </row>
    <row r="392">
      <c r="C392" s="24"/>
      <c r="D392" s="25"/>
      <c r="E392" s="25"/>
      <c r="F392" s="25"/>
    </row>
    <row r="393">
      <c r="C393" s="24"/>
      <c r="D393" s="25"/>
      <c r="E393" s="25"/>
      <c r="F393" s="25"/>
    </row>
    <row r="394">
      <c r="C394" s="24"/>
      <c r="D394" s="25"/>
      <c r="E394" s="25"/>
      <c r="F394" s="25"/>
    </row>
    <row r="395">
      <c r="B395" s="24"/>
      <c r="C395" s="24"/>
      <c r="D395" s="25"/>
      <c r="E395" s="25"/>
      <c r="F395" s="25"/>
    </row>
    <row r="396">
      <c r="C396" s="24"/>
      <c r="D396" s="25"/>
      <c r="E396" s="25"/>
      <c r="F396" s="25"/>
    </row>
    <row r="397">
      <c r="A397" s="24"/>
      <c r="B397" s="24"/>
      <c r="C397" s="24"/>
      <c r="D397" s="25"/>
      <c r="E397" s="25"/>
      <c r="F397" s="25"/>
    </row>
    <row r="398">
      <c r="C398" s="24"/>
      <c r="D398" s="25"/>
      <c r="E398" s="25"/>
      <c r="F398" s="25"/>
    </row>
    <row r="399">
      <c r="C399" s="24"/>
      <c r="D399" s="25"/>
      <c r="E399" s="25"/>
      <c r="F399" s="25"/>
    </row>
    <row r="400">
      <c r="C400" s="24"/>
      <c r="D400" s="25"/>
      <c r="E400" s="25"/>
      <c r="F400" s="25"/>
    </row>
    <row r="401">
      <c r="A401" s="24"/>
      <c r="B401" s="24"/>
      <c r="C401" s="24"/>
      <c r="D401" s="25"/>
      <c r="E401" s="25"/>
      <c r="F401" s="25"/>
    </row>
    <row r="402">
      <c r="B402" s="24"/>
      <c r="C402" s="24"/>
      <c r="D402" s="25"/>
      <c r="E402" s="25"/>
      <c r="F402" s="25"/>
    </row>
    <row r="403">
      <c r="C403" s="24"/>
      <c r="D403" s="25"/>
      <c r="E403" s="25"/>
      <c r="F403" s="25"/>
    </row>
    <row r="404">
      <c r="C404" s="24"/>
      <c r="D404" s="25"/>
      <c r="E404" s="25"/>
      <c r="F404" s="25"/>
    </row>
    <row r="405">
      <c r="C405" s="24"/>
      <c r="D405" s="25"/>
      <c r="E405" s="25"/>
      <c r="F405" s="25"/>
    </row>
    <row r="406">
      <c r="C406" s="24"/>
      <c r="D406" s="25"/>
      <c r="E406" s="25"/>
      <c r="F406" s="25"/>
    </row>
    <row r="407">
      <c r="C407" s="24"/>
      <c r="D407" s="25"/>
      <c r="E407" s="25"/>
      <c r="F407" s="25"/>
    </row>
    <row r="408">
      <c r="C408" s="24"/>
      <c r="D408" s="25"/>
      <c r="E408" s="25"/>
      <c r="F408" s="25"/>
    </row>
    <row r="409">
      <c r="C409" s="24"/>
      <c r="D409" s="25"/>
      <c r="E409" s="25"/>
      <c r="F409" s="25"/>
    </row>
    <row r="410">
      <c r="C410" s="24"/>
      <c r="D410" s="25"/>
      <c r="E410" s="25"/>
      <c r="F410" s="25"/>
    </row>
    <row r="411">
      <c r="C411" s="24"/>
      <c r="D411" s="25"/>
      <c r="E411" s="25"/>
      <c r="F411" s="25"/>
    </row>
    <row r="412">
      <c r="C412" s="24"/>
      <c r="D412" s="25"/>
      <c r="E412" s="25"/>
      <c r="F412" s="25"/>
    </row>
    <row r="413">
      <c r="C413" s="24"/>
      <c r="D413" s="25"/>
      <c r="E413" s="25"/>
      <c r="F413" s="25"/>
    </row>
    <row r="414">
      <c r="C414" s="24"/>
      <c r="D414" s="25"/>
      <c r="E414" s="25"/>
      <c r="F414" s="25"/>
    </row>
    <row r="415">
      <c r="C415" s="24"/>
      <c r="D415" s="25"/>
      <c r="E415" s="25"/>
      <c r="F415" s="25"/>
    </row>
    <row r="416">
      <c r="A416" s="24"/>
      <c r="B416" s="24"/>
      <c r="C416" s="24"/>
      <c r="D416" s="25"/>
      <c r="E416" s="25"/>
      <c r="F416" s="25"/>
    </row>
    <row r="417">
      <c r="D417" s="25"/>
      <c r="E417" s="25"/>
      <c r="F417" s="25"/>
    </row>
    <row r="418">
      <c r="D418" s="25"/>
      <c r="E418" s="25"/>
      <c r="F418" s="25"/>
    </row>
    <row r="419">
      <c r="D419" s="25"/>
      <c r="E419" s="25"/>
      <c r="F419" s="25"/>
    </row>
    <row r="420">
      <c r="D420" s="25"/>
      <c r="E420" s="25"/>
      <c r="F420" s="25"/>
    </row>
    <row r="421">
      <c r="D421" s="25"/>
      <c r="E421" s="25"/>
      <c r="F421" s="25"/>
    </row>
    <row r="422">
      <c r="D422" s="25"/>
      <c r="E422" s="25"/>
      <c r="F422" s="25"/>
    </row>
    <row r="423">
      <c r="D423" s="25"/>
      <c r="E423" s="25"/>
      <c r="F423" s="25"/>
    </row>
    <row r="424">
      <c r="D424" s="25"/>
      <c r="E424" s="25"/>
      <c r="F424" s="25"/>
    </row>
    <row r="425">
      <c r="D425" s="25"/>
      <c r="E425" s="25"/>
      <c r="F425" s="25"/>
    </row>
    <row r="426">
      <c r="D426" s="25"/>
      <c r="E426" s="25"/>
      <c r="F426" s="25"/>
    </row>
    <row r="427">
      <c r="C427" s="24"/>
      <c r="D427" s="25"/>
      <c r="E427" s="25"/>
      <c r="F427" s="25"/>
    </row>
    <row r="428">
      <c r="C428" s="24"/>
      <c r="D428" s="25"/>
      <c r="E428" s="25"/>
      <c r="F428" s="25"/>
    </row>
    <row r="429">
      <c r="C429" s="24"/>
      <c r="D429" s="25"/>
      <c r="E429" s="25"/>
      <c r="F429" s="25"/>
    </row>
    <row r="430">
      <c r="C430" s="24"/>
      <c r="D430" s="25"/>
      <c r="E430" s="25"/>
      <c r="F430" s="25"/>
    </row>
    <row r="431">
      <c r="C431" s="24"/>
      <c r="D431" s="25"/>
      <c r="E431" s="25"/>
      <c r="F431" s="25"/>
    </row>
    <row r="432">
      <c r="C432" s="24"/>
      <c r="D432" s="25"/>
      <c r="E432" s="25"/>
      <c r="F432" s="25"/>
    </row>
    <row r="433">
      <c r="C433" s="24"/>
      <c r="D433" s="25"/>
      <c r="E433" s="25"/>
      <c r="F433" s="25"/>
    </row>
    <row r="434">
      <c r="C434" s="24"/>
      <c r="D434" s="25"/>
      <c r="E434" s="25"/>
      <c r="F434" s="25"/>
    </row>
    <row r="435">
      <c r="C435" s="24"/>
      <c r="D435" s="25"/>
      <c r="E435" s="25"/>
      <c r="F435" s="25"/>
    </row>
    <row r="436">
      <c r="C436" s="24"/>
      <c r="D436" s="25"/>
      <c r="E436" s="25"/>
      <c r="F436" s="25"/>
    </row>
    <row r="437">
      <c r="C437" s="24"/>
      <c r="D437" s="25"/>
      <c r="E437" s="25"/>
      <c r="F437" s="25"/>
    </row>
    <row r="438">
      <c r="B438" s="24"/>
      <c r="C438" s="24"/>
      <c r="D438" s="25"/>
      <c r="E438" s="25"/>
      <c r="F438" s="25"/>
    </row>
    <row r="439">
      <c r="D439" s="25"/>
      <c r="E439" s="25"/>
      <c r="F439" s="25"/>
    </row>
    <row r="440">
      <c r="D440" s="25"/>
      <c r="E440" s="25"/>
      <c r="F440" s="25"/>
    </row>
    <row r="441">
      <c r="D441" s="25"/>
      <c r="E441" s="25"/>
      <c r="F441" s="25"/>
    </row>
    <row r="442">
      <c r="D442" s="25"/>
      <c r="E442" s="25"/>
      <c r="F442" s="25"/>
    </row>
    <row r="443">
      <c r="A443" s="24"/>
      <c r="B443" s="24"/>
      <c r="C443" s="24"/>
      <c r="D443" s="25"/>
      <c r="E443" s="25"/>
      <c r="F443" s="25"/>
    </row>
    <row r="444">
      <c r="C444" s="24"/>
      <c r="D444" s="25"/>
      <c r="E444" s="25"/>
      <c r="F444" s="25"/>
    </row>
    <row r="445">
      <c r="C445" s="24"/>
      <c r="D445" s="25"/>
      <c r="E445" s="25"/>
      <c r="F445" s="25"/>
    </row>
    <row r="446">
      <c r="B446" s="24"/>
      <c r="C446" s="24"/>
      <c r="D446" s="25"/>
      <c r="E446" s="25"/>
      <c r="F446" s="25"/>
    </row>
    <row r="447">
      <c r="C447" s="24"/>
      <c r="D447" s="25"/>
      <c r="E447" s="25"/>
      <c r="F447" s="25"/>
    </row>
    <row r="448">
      <c r="C448" s="24"/>
      <c r="D448" s="25"/>
      <c r="E448" s="25"/>
      <c r="F448" s="25"/>
    </row>
    <row r="449">
      <c r="A449" s="24"/>
      <c r="B449" s="24"/>
      <c r="C449" s="24"/>
      <c r="D449" s="25"/>
      <c r="E449" s="25"/>
      <c r="F449" s="25"/>
    </row>
    <row r="450">
      <c r="B450" s="24"/>
      <c r="C450" s="24"/>
      <c r="D450" s="25"/>
      <c r="E450" s="25"/>
      <c r="F450" s="25"/>
    </row>
    <row r="451">
      <c r="A451" s="24"/>
      <c r="B451" s="24"/>
      <c r="C451" s="24"/>
      <c r="D451" s="25"/>
      <c r="E451" s="25"/>
      <c r="F451" s="25"/>
    </row>
    <row r="452">
      <c r="A452" s="24"/>
      <c r="D452" s="25"/>
      <c r="E452" s="25"/>
      <c r="F452" s="25"/>
    </row>
    <row r="453">
      <c r="A453" s="24"/>
      <c r="B453" s="24"/>
      <c r="C453" s="24"/>
      <c r="D453" s="25"/>
      <c r="E453" s="25"/>
      <c r="F453" s="25"/>
    </row>
    <row r="454">
      <c r="A454" s="24"/>
      <c r="B454" s="24"/>
      <c r="C454" s="24"/>
      <c r="D454" s="25"/>
      <c r="E454" s="25"/>
      <c r="F454" s="25"/>
    </row>
    <row r="455">
      <c r="C455" s="24"/>
      <c r="D455" s="25"/>
      <c r="E455" s="25"/>
      <c r="F455" s="25"/>
    </row>
    <row r="456">
      <c r="C456" s="24"/>
      <c r="D456" s="25"/>
      <c r="E456" s="25"/>
      <c r="F456" s="25"/>
    </row>
    <row r="457">
      <c r="C457" s="24"/>
      <c r="D457" s="25"/>
      <c r="E457" s="25"/>
      <c r="F457" s="25"/>
    </row>
    <row r="458">
      <c r="B458" s="24"/>
      <c r="C458" s="24"/>
      <c r="D458" s="25"/>
      <c r="E458" s="25"/>
      <c r="F458" s="25"/>
    </row>
    <row r="459">
      <c r="C459" s="24"/>
      <c r="D459" s="25"/>
      <c r="E459" s="25"/>
      <c r="F459" s="25"/>
    </row>
    <row r="460">
      <c r="A460" s="24"/>
      <c r="B460" s="24"/>
      <c r="C460" s="24"/>
      <c r="D460" s="25"/>
      <c r="E460" s="25"/>
      <c r="F460" s="25"/>
    </row>
    <row r="461">
      <c r="C461" s="24"/>
      <c r="D461" s="25"/>
      <c r="E461" s="25"/>
      <c r="F461" s="25"/>
    </row>
    <row r="462">
      <c r="C462" s="24"/>
      <c r="D462" s="25"/>
      <c r="E462" s="25"/>
      <c r="F462" s="25"/>
    </row>
    <row r="463">
      <c r="C463" s="24"/>
      <c r="D463" s="25"/>
      <c r="E463" s="25"/>
      <c r="F463" s="25"/>
    </row>
    <row r="464">
      <c r="A464" s="24"/>
      <c r="B464" s="24"/>
      <c r="C464" s="24"/>
      <c r="D464" s="25"/>
      <c r="E464" s="25"/>
      <c r="F464" s="25"/>
    </row>
    <row r="465">
      <c r="B465" s="24"/>
      <c r="C465" s="24"/>
      <c r="D465" s="25"/>
      <c r="E465" s="25"/>
      <c r="F465" s="25"/>
    </row>
    <row r="466">
      <c r="C466" s="24"/>
      <c r="D466" s="25"/>
      <c r="E466" s="25"/>
      <c r="F466" s="25"/>
    </row>
    <row r="467">
      <c r="C467" s="24"/>
      <c r="D467" s="25"/>
      <c r="E467" s="25"/>
      <c r="F467" s="25"/>
    </row>
    <row r="468">
      <c r="C468" s="24"/>
      <c r="D468" s="25"/>
      <c r="E468" s="25"/>
      <c r="F468" s="25"/>
    </row>
    <row r="469">
      <c r="C469" s="24"/>
      <c r="D469" s="25"/>
      <c r="E469" s="25"/>
      <c r="F469" s="25"/>
    </row>
    <row r="470">
      <c r="C470" s="24"/>
      <c r="D470" s="25"/>
      <c r="E470" s="25"/>
      <c r="F470" s="25"/>
    </row>
    <row r="471">
      <c r="C471" s="24"/>
      <c r="D471" s="25"/>
      <c r="E471" s="25"/>
      <c r="F471" s="25"/>
    </row>
    <row r="472">
      <c r="C472" s="24"/>
      <c r="D472" s="25"/>
      <c r="E472" s="25"/>
      <c r="F472" s="25"/>
    </row>
    <row r="473">
      <c r="C473" s="24"/>
      <c r="D473" s="25"/>
      <c r="E473" s="25"/>
      <c r="F473" s="25"/>
    </row>
    <row r="474">
      <c r="C474" s="24"/>
      <c r="D474" s="25"/>
      <c r="E474" s="25"/>
      <c r="F474" s="25"/>
    </row>
    <row r="475">
      <c r="C475" s="24"/>
      <c r="D475" s="25"/>
      <c r="E475" s="25"/>
      <c r="F475" s="25"/>
    </row>
    <row r="476">
      <c r="C476" s="24"/>
      <c r="D476" s="25"/>
      <c r="E476" s="25"/>
      <c r="F476" s="25"/>
    </row>
    <row r="477">
      <c r="C477" s="24"/>
      <c r="D477" s="25"/>
      <c r="E477" s="25"/>
      <c r="F477" s="25"/>
    </row>
    <row r="478">
      <c r="C478" s="24"/>
      <c r="D478" s="25"/>
      <c r="E478" s="25"/>
      <c r="F478" s="25"/>
    </row>
    <row r="479">
      <c r="A479" s="24"/>
      <c r="B479" s="24"/>
      <c r="C479" s="24"/>
      <c r="D479" s="25"/>
      <c r="E479" s="25"/>
      <c r="F479" s="25"/>
    </row>
    <row r="480">
      <c r="D480" s="25"/>
      <c r="E480" s="25"/>
      <c r="F480" s="25"/>
    </row>
    <row r="481">
      <c r="D481" s="25"/>
      <c r="E481" s="25"/>
      <c r="F481" s="25"/>
    </row>
    <row r="482">
      <c r="D482" s="25"/>
      <c r="E482" s="25"/>
      <c r="F482" s="25"/>
    </row>
    <row r="483">
      <c r="D483" s="25"/>
      <c r="E483" s="25"/>
      <c r="F483" s="25"/>
    </row>
    <row r="484">
      <c r="D484" s="25"/>
      <c r="E484" s="25"/>
      <c r="F484" s="25"/>
    </row>
    <row r="485">
      <c r="D485" s="25"/>
      <c r="E485" s="25"/>
      <c r="F485" s="25"/>
    </row>
    <row r="486">
      <c r="D486" s="25"/>
      <c r="E486" s="25"/>
      <c r="F486" s="25"/>
    </row>
    <row r="487">
      <c r="D487" s="25"/>
      <c r="E487" s="25"/>
      <c r="F487" s="25"/>
    </row>
    <row r="488">
      <c r="D488" s="25"/>
      <c r="E488" s="25"/>
      <c r="F488" s="25"/>
    </row>
    <row r="489">
      <c r="D489" s="25"/>
      <c r="E489" s="25"/>
      <c r="F489" s="25"/>
    </row>
    <row r="490">
      <c r="C490" s="24"/>
      <c r="D490" s="25"/>
      <c r="E490" s="25"/>
      <c r="F490" s="25"/>
    </row>
    <row r="491">
      <c r="C491" s="24"/>
      <c r="D491" s="25"/>
      <c r="E491" s="25"/>
      <c r="F491" s="25"/>
    </row>
    <row r="492">
      <c r="C492" s="24"/>
      <c r="D492" s="25"/>
      <c r="E492" s="25"/>
      <c r="F492" s="25"/>
    </row>
    <row r="493">
      <c r="C493" s="24"/>
      <c r="D493" s="25"/>
      <c r="E493" s="25"/>
      <c r="F493" s="25"/>
    </row>
    <row r="494">
      <c r="C494" s="24"/>
      <c r="D494" s="25"/>
      <c r="E494" s="25"/>
      <c r="F494" s="25"/>
    </row>
    <row r="495">
      <c r="C495" s="24"/>
      <c r="D495" s="25"/>
      <c r="E495" s="25"/>
      <c r="F495" s="25"/>
    </row>
    <row r="496">
      <c r="C496" s="24"/>
      <c r="D496" s="25"/>
      <c r="E496" s="25"/>
      <c r="F496" s="25"/>
    </row>
    <row r="497">
      <c r="C497" s="24"/>
      <c r="D497" s="25"/>
      <c r="E497" s="25"/>
      <c r="F497" s="25"/>
    </row>
    <row r="498">
      <c r="C498" s="24"/>
      <c r="D498" s="25"/>
      <c r="E498" s="25"/>
      <c r="F498" s="25"/>
    </row>
    <row r="499">
      <c r="C499" s="24"/>
      <c r="D499" s="25"/>
      <c r="E499" s="25"/>
      <c r="F499" s="25"/>
    </row>
    <row r="500">
      <c r="C500" s="24"/>
      <c r="D500" s="25"/>
      <c r="E500" s="25"/>
      <c r="F500" s="25"/>
    </row>
    <row r="501">
      <c r="B501" s="24"/>
      <c r="C501" s="24"/>
      <c r="D501" s="25"/>
      <c r="E501" s="25"/>
      <c r="F501" s="25"/>
    </row>
    <row r="502">
      <c r="D502" s="25"/>
      <c r="E502" s="25"/>
      <c r="F502" s="25"/>
    </row>
    <row r="503">
      <c r="D503" s="25"/>
      <c r="E503" s="25"/>
      <c r="F503" s="25"/>
    </row>
    <row r="504">
      <c r="D504" s="25"/>
      <c r="E504" s="25"/>
      <c r="F504" s="25"/>
    </row>
    <row r="505">
      <c r="D505" s="25"/>
      <c r="E505" s="25"/>
      <c r="F505" s="25"/>
    </row>
    <row r="506">
      <c r="A506" s="24"/>
      <c r="B506" s="24"/>
      <c r="C506" s="24"/>
      <c r="D506" s="25"/>
      <c r="E506" s="25"/>
      <c r="F506" s="25"/>
    </row>
    <row r="507">
      <c r="C507" s="24"/>
      <c r="D507" s="25"/>
      <c r="E507" s="25"/>
      <c r="F507" s="25"/>
    </row>
    <row r="508">
      <c r="C508" s="24"/>
      <c r="D508" s="25"/>
      <c r="E508" s="25"/>
      <c r="F508" s="25"/>
    </row>
    <row r="509">
      <c r="B509" s="24"/>
      <c r="C509" s="24"/>
      <c r="D509" s="25"/>
      <c r="E509" s="25"/>
      <c r="F509" s="25"/>
    </row>
    <row r="510">
      <c r="C510" s="24"/>
      <c r="D510" s="25"/>
      <c r="E510" s="25"/>
      <c r="F510" s="25"/>
    </row>
    <row r="511">
      <c r="C511" s="24"/>
      <c r="D511" s="25"/>
      <c r="E511" s="25"/>
      <c r="F511" s="25"/>
    </row>
    <row r="512">
      <c r="A512" s="24"/>
      <c r="B512" s="24"/>
      <c r="C512" s="24"/>
      <c r="D512" s="25"/>
      <c r="E512" s="25"/>
      <c r="F512" s="25"/>
    </row>
    <row r="513">
      <c r="B513" s="24"/>
      <c r="C513" s="24"/>
      <c r="D513" s="25"/>
      <c r="E513" s="25"/>
      <c r="F513" s="25"/>
    </row>
    <row r="514">
      <c r="A514" s="24"/>
      <c r="B514" s="24"/>
      <c r="C514" s="24"/>
      <c r="D514" s="25"/>
      <c r="E514" s="25"/>
      <c r="F514" s="25"/>
    </row>
    <row r="515">
      <c r="A515" s="24"/>
      <c r="D515" s="25"/>
      <c r="E515" s="25"/>
      <c r="F515" s="25"/>
    </row>
    <row r="516">
      <c r="A516" s="24"/>
      <c r="B516" s="24"/>
      <c r="C516" s="24"/>
      <c r="D516" s="25"/>
      <c r="E516" s="25"/>
      <c r="F516" s="25"/>
    </row>
    <row r="517">
      <c r="A517" s="24"/>
      <c r="B517" s="24"/>
      <c r="C517" s="24"/>
      <c r="D517" s="25"/>
      <c r="E517" s="25"/>
      <c r="F517" s="25"/>
    </row>
    <row r="518">
      <c r="C518" s="24"/>
      <c r="D518" s="25"/>
      <c r="E518" s="25"/>
      <c r="F518" s="25"/>
    </row>
    <row r="519">
      <c r="C519" s="24"/>
      <c r="D519" s="25"/>
      <c r="E519" s="25"/>
      <c r="F519" s="25"/>
    </row>
    <row r="520">
      <c r="C520" s="24"/>
      <c r="D520" s="25"/>
      <c r="E520" s="25"/>
      <c r="F520" s="25"/>
    </row>
    <row r="521">
      <c r="B521" s="24"/>
      <c r="C521" s="24"/>
      <c r="D521" s="25"/>
      <c r="E521" s="25"/>
      <c r="F521" s="25"/>
    </row>
    <row r="522">
      <c r="C522" s="24"/>
      <c r="D522" s="25"/>
      <c r="E522" s="25"/>
      <c r="F522" s="25"/>
    </row>
    <row r="523">
      <c r="A523" s="24"/>
      <c r="B523" s="24"/>
      <c r="C523" s="24"/>
      <c r="D523" s="25"/>
      <c r="E523" s="25"/>
      <c r="F523" s="25"/>
    </row>
    <row r="524">
      <c r="C524" s="24"/>
      <c r="D524" s="25"/>
      <c r="E524" s="25"/>
      <c r="F524" s="25"/>
    </row>
    <row r="525">
      <c r="C525" s="24"/>
      <c r="D525" s="25"/>
      <c r="E525" s="25"/>
      <c r="F525" s="25"/>
    </row>
    <row r="526">
      <c r="C526" s="24"/>
      <c r="D526" s="25"/>
      <c r="E526" s="25"/>
      <c r="F526" s="25"/>
    </row>
    <row r="527">
      <c r="A527" s="24"/>
      <c r="B527" s="24"/>
      <c r="C527" s="24"/>
      <c r="D527" s="25"/>
      <c r="E527" s="25"/>
      <c r="F527" s="25"/>
    </row>
    <row r="528">
      <c r="B528" s="24"/>
      <c r="C528" s="24"/>
      <c r="D528" s="25"/>
      <c r="E528" s="25"/>
      <c r="F528" s="25"/>
    </row>
    <row r="529">
      <c r="C529" s="24"/>
      <c r="D529" s="25"/>
      <c r="E529" s="25"/>
      <c r="F529" s="25"/>
    </row>
    <row r="530">
      <c r="C530" s="24"/>
      <c r="D530" s="25"/>
      <c r="E530" s="25"/>
      <c r="F530" s="25"/>
    </row>
    <row r="531">
      <c r="C531" s="24"/>
      <c r="D531" s="25"/>
      <c r="E531" s="25"/>
      <c r="F531" s="25"/>
    </row>
    <row r="532">
      <c r="C532" s="24"/>
      <c r="D532" s="25"/>
      <c r="E532" s="25"/>
      <c r="F532" s="25"/>
    </row>
    <row r="533">
      <c r="C533" s="24"/>
      <c r="D533" s="25"/>
      <c r="E533" s="25"/>
      <c r="F533" s="25"/>
    </row>
    <row r="534">
      <c r="C534" s="24"/>
      <c r="D534" s="25"/>
      <c r="E534" s="25"/>
      <c r="F534" s="25"/>
    </row>
    <row r="535">
      <c r="C535" s="24"/>
      <c r="D535" s="25"/>
      <c r="E535" s="25"/>
      <c r="F535" s="25"/>
    </row>
    <row r="536">
      <c r="C536" s="24"/>
      <c r="D536" s="25"/>
      <c r="E536" s="25"/>
      <c r="F536" s="25"/>
    </row>
    <row r="537">
      <c r="C537" s="24"/>
      <c r="D537" s="25"/>
      <c r="E537" s="25"/>
      <c r="F537" s="25"/>
    </row>
    <row r="538">
      <c r="C538" s="24"/>
      <c r="D538" s="25"/>
      <c r="E538" s="25"/>
      <c r="F538" s="25"/>
    </row>
    <row r="539">
      <c r="C539" s="24"/>
      <c r="D539" s="25"/>
      <c r="E539" s="25"/>
      <c r="F539" s="25"/>
    </row>
    <row r="540">
      <c r="C540" s="24"/>
      <c r="D540" s="25"/>
      <c r="E540" s="25"/>
      <c r="F540" s="25"/>
    </row>
    <row r="541">
      <c r="C541" s="24"/>
      <c r="D541" s="25"/>
      <c r="E541" s="25"/>
      <c r="F541" s="25"/>
    </row>
    <row r="542">
      <c r="A542" s="24"/>
      <c r="B542" s="24"/>
      <c r="C542" s="24"/>
      <c r="D542" s="25"/>
      <c r="E542" s="25"/>
      <c r="F542" s="25"/>
    </row>
    <row r="543">
      <c r="D543" s="25"/>
      <c r="E543" s="25"/>
      <c r="F543" s="25"/>
    </row>
    <row r="544">
      <c r="D544" s="25"/>
      <c r="E544" s="25"/>
      <c r="F544" s="25"/>
    </row>
    <row r="545">
      <c r="D545" s="25"/>
      <c r="E545" s="25"/>
      <c r="F545" s="25"/>
    </row>
    <row r="546">
      <c r="D546" s="25"/>
      <c r="E546" s="25"/>
      <c r="F546" s="25"/>
    </row>
    <row r="547">
      <c r="D547" s="25"/>
      <c r="E547" s="25"/>
      <c r="F547" s="25"/>
    </row>
    <row r="548">
      <c r="D548" s="25"/>
      <c r="E548" s="25"/>
      <c r="F548" s="25"/>
    </row>
    <row r="549">
      <c r="D549" s="25"/>
      <c r="E549" s="25"/>
      <c r="F549" s="25"/>
    </row>
    <row r="550">
      <c r="D550" s="25"/>
      <c r="E550" s="25"/>
      <c r="F550" s="25"/>
    </row>
    <row r="551">
      <c r="D551" s="25"/>
      <c r="E551" s="25"/>
      <c r="F551" s="25"/>
    </row>
    <row r="552">
      <c r="D552" s="25"/>
      <c r="E552" s="25"/>
      <c r="F552" s="25"/>
    </row>
    <row r="553">
      <c r="C553" s="24"/>
      <c r="D553" s="25"/>
      <c r="E553" s="25"/>
      <c r="F553" s="25"/>
    </row>
    <row r="554">
      <c r="C554" s="24"/>
      <c r="D554" s="25"/>
      <c r="E554" s="25"/>
      <c r="F554" s="25"/>
    </row>
    <row r="555">
      <c r="C555" s="24"/>
      <c r="D555" s="25"/>
      <c r="E555" s="25"/>
      <c r="F555" s="25"/>
    </row>
    <row r="556">
      <c r="C556" s="24"/>
      <c r="D556" s="25"/>
      <c r="E556" s="25"/>
      <c r="F556" s="25"/>
    </row>
    <row r="557">
      <c r="C557" s="24"/>
      <c r="D557" s="25"/>
      <c r="E557" s="25"/>
      <c r="F557" s="25"/>
    </row>
    <row r="558">
      <c r="C558" s="24"/>
      <c r="D558" s="25"/>
      <c r="E558" s="25"/>
      <c r="F558" s="25"/>
    </row>
    <row r="559">
      <c r="C559" s="24"/>
      <c r="D559" s="25"/>
      <c r="E559" s="25"/>
      <c r="F559" s="25"/>
    </row>
    <row r="560">
      <c r="C560" s="24"/>
      <c r="D560" s="25"/>
      <c r="E560" s="25"/>
      <c r="F560" s="25"/>
    </row>
    <row r="561">
      <c r="C561" s="24"/>
      <c r="D561" s="25"/>
      <c r="E561" s="25"/>
      <c r="F561" s="25"/>
    </row>
    <row r="562">
      <c r="C562" s="24"/>
      <c r="D562" s="25"/>
      <c r="E562" s="25"/>
      <c r="F562" s="25"/>
    </row>
    <row r="563">
      <c r="C563" s="24"/>
      <c r="D563" s="25"/>
      <c r="E563" s="25"/>
      <c r="F563" s="25"/>
    </row>
    <row r="564">
      <c r="B564" s="24"/>
      <c r="C564" s="24"/>
      <c r="D564" s="25"/>
      <c r="E564" s="25"/>
      <c r="F564" s="25"/>
    </row>
    <row r="565">
      <c r="D565" s="25"/>
      <c r="E565" s="25"/>
      <c r="F565" s="25"/>
    </row>
    <row r="566">
      <c r="D566" s="25"/>
      <c r="E566" s="25"/>
      <c r="F566" s="25"/>
    </row>
    <row r="567">
      <c r="D567" s="25"/>
      <c r="E567" s="25"/>
      <c r="F567" s="25"/>
    </row>
    <row r="568">
      <c r="D568" s="25"/>
      <c r="E568" s="25"/>
      <c r="F568" s="25"/>
    </row>
    <row r="569">
      <c r="A569" s="24"/>
      <c r="B569" s="24"/>
      <c r="C569" s="24"/>
      <c r="D569" s="25"/>
      <c r="E569" s="25"/>
      <c r="F569" s="25"/>
    </row>
    <row r="570">
      <c r="C570" s="24"/>
      <c r="D570" s="25"/>
      <c r="E570" s="25"/>
      <c r="F570" s="25"/>
    </row>
    <row r="571">
      <c r="C571" s="24"/>
      <c r="D571" s="25"/>
      <c r="E571" s="25"/>
      <c r="F571" s="25"/>
    </row>
    <row r="572">
      <c r="B572" s="24"/>
      <c r="C572" s="24"/>
      <c r="D572" s="25"/>
      <c r="E572" s="25"/>
      <c r="F572" s="25"/>
    </row>
    <row r="573">
      <c r="C573" s="24"/>
      <c r="D573" s="25"/>
      <c r="E573" s="25"/>
      <c r="F573" s="25"/>
    </row>
    <row r="574">
      <c r="C574" s="24"/>
      <c r="D574" s="25"/>
      <c r="E574" s="25"/>
      <c r="F574" s="25"/>
    </row>
    <row r="575">
      <c r="A575" s="24"/>
      <c r="B575" s="24"/>
      <c r="C575" s="24"/>
      <c r="D575" s="25"/>
      <c r="E575" s="25"/>
      <c r="F575" s="25"/>
    </row>
    <row r="576">
      <c r="B576" s="24"/>
      <c r="C576" s="24"/>
      <c r="D576" s="25"/>
      <c r="E576" s="25"/>
      <c r="F576" s="25"/>
    </row>
    <row r="577">
      <c r="A577" s="24"/>
      <c r="B577" s="24"/>
      <c r="C577" s="24"/>
      <c r="D577" s="25"/>
      <c r="E577" s="25"/>
      <c r="F577" s="25"/>
    </row>
    <row r="578">
      <c r="A578" s="24"/>
      <c r="D578" s="25"/>
      <c r="E578" s="25"/>
      <c r="F578" s="25"/>
    </row>
    <row r="579">
      <c r="A579" s="24"/>
      <c r="B579" s="24"/>
      <c r="C579" s="24"/>
      <c r="D579" s="25"/>
      <c r="E579" s="25"/>
      <c r="F579" s="25"/>
    </row>
    <row r="580">
      <c r="A580" s="24"/>
      <c r="B580" s="24"/>
      <c r="C580" s="24"/>
      <c r="D580" s="25"/>
      <c r="E580" s="25"/>
      <c r="F580" s="25"/>
    </row>
    <row r="581">
      <c r="C581" s="24"/>
      <c r="D581" s="25"/>
      <c r="E581" s="25"/>
      <c r="F581" s="25"/>
    </row>
    <row r="582">
      <c r="C582" s="24"/>
      <c r="D582" s="25"/>
      <c r="E582" s="25"/>
      <c r="F582" s="25"/>
    </row>
    <row r="583">
      <c r="C583" s="24"/>
      <c r="D583" s="25"/>
      <c r="E583" s="25"/>
      <c r="F583" s="25"/>
    </row>
    <row r="584">
      <c r="B584" s="24"/>
      <c r="C584" s="24"/>
      <c r="D584" s="25"/>
      <c r="E584" s="25"/>
      <c r="F584" s="25"/>
    </row>
    <row r="585">
      <c r="C585" s="24"/>
      <c r="D585" s="25"/>
      <c r="E585" s="25"/>
      <c r="F585" s="25"/>
    </row>
    <row r="586">
      <c r="A586" s="24"/>
      <c r="B586" s="24"/>
      <c r="C586" s="24"/>
      <c r="D586" s="25"/>
      <c r="E586" s="25"/>
      <c r="F586" s="25"/>
    </row>
    <row r="587">
      <c r="C587" s="24"/>
      <c r="D587" s="25"/>
      <c r="E587" s="25"/>
      <c r="F587" s="25"/>
    </row>
    <row r="588">
      <c r="C588" s="24"/>
      <c r="D588" s="25"/>
      <c r="E588" s="25"/>
      <c r="F588" s="25"/>
    </row>
    <row r="589">
      <c r="C589" s="24"/>
      <c r="D589" s="25"/>
      <c r="E589" s="25"/>
      <c r="F589" s="25"/>
    </row>
    <row r="590">
      <c r="A590" s="24"/>
      <c r="B590" s="24"/>
      <c r="C590" s="24"/>
      <c r="D590" s="25"/>
      <c r="E590" s="25"/>
      <c r="F590" s="25"/>
    </row>
    <row r="591">
      <c r="B591" s="24"/>
      <c r="C591" s="24"/>
      <c r="D591" s="25"/>
      <c r="E591" s="25"/>
      <c r="F591" s="25"/>
    </row>
    <row r="592">
      <c r="C592" s="24"/>
      <c r="D592" s="25"/>
      <c r="E592" s="25"/>
      <c r="F592" s="25"/>
    </row>
    <row r="593">
      <c r="C593" s="24"/>
      <c r="D593" s="25"/>
      <c r="E593" s="25"/>
      <c r="F593" s="25"/>
    </row>
    <row r="594">
      <c r="C594" s="24"/>
      <c r="D594" s="25"/>
      <c r="E594" s="25"/>
      <c r="F594" s="25"/>
    </row>
    <row r="595">
      <c r="C595" s="24"/>
      <c r="D595" s="25"/>
      <c r="E595" s="25"/>
      <c r="F595" s="25"/>
    </row>
    <row r="596">
      <c r="C596" s="24"/>
      <c r="D596" s="25"/>
      <c r="E596" s="25"/>
      <c r="F596" s="25"/>
    </row>
    <row r="597">
      <c r="C597" s="24"/>
      <c r="D597" s="25"/>
      <c r="E597" s="25"/>
      <c r="F597" s="25"/>
    </row>
    <row r="598">
      <c r="C598" s="24"/>
      <c r="D598" s="25"/>
      <c r="E598" s="25"/>
      <c r="F598" s="25"/>
    </row>
    <row r="599">
      <c r="C599" s="24"/>
      <c r="D599" s="25"/>
      <c r="E599" s="25"/>
      <c r="F599" s="25"/>
    </row>
    <row r="600">
      <c r="C600" s="24"/>
      <c r="D600" s="25"/>
      <c r="E600" s="25"/>
      <c r="F600" s="25"/>
    </row>
    <row r="601">
      <c r="C601" s="24"/>
      <c r="D601" s="25"/>
      <c r="E601" s="25"/>
      <c r="F601" s="25"/>
    </row>
    <row r="602">
      <c r="C602" s="24"/>
      <c r="D602" s="25"/>
      <c r="E602" s="25"/>
      <c r="F602" s="25"/>
    </row>
    <row r="603">
      <c r="C603" s="24"/>
      <c r="D603" s="25"/>
      <c r="E603" s="25"/>
      <c r="F603" s="25"/>
    </row>
    <row r="604">
      <c r="C604" s="24"/>
      <c r="D604" s="25"/>
      <c r="E604" s="25"/>
      <c r="F604" s="25"/>
    </row>
    <row r="605">
      <c r="A605" s="24"/>
      <c r="B605" s="24"/>
      <c r="C605" s="24"/>
      <c r="D605" s="25"/>
      <c r="E605" s="25"/>
      <c r="F605" s="25"/>
    </row>
    <row r="606">
      <c r="D606" s="25"/>
      <c r="E606" s="25"/>
      <c r="F606" s="25"/>
    </row>
    <row r="607">
      <c r="D607" s="25"/>
      <c r="E607" s="25"/>
      <c r="F607" s="25"/>
    </row>
    <row r="608">
      <c r="D608" s="25"/>
      <c r="E608" s="25"/>
      <c r="F608" s="25"/>
    </row>
    <row r="609">
      <c r="D609" s="25"/>
      <c r="E609" s="25"/>
      <c r="F609" s="25"/>
    </row>
    <row r="610">
      <c r="D610" s="25"/>
      <c r="E610" s="25"/>
      <c r="F610" s="25"/>
    </row>
    <row r="611">
      <c r="D611" s="25"/>
      <c r="E611" s="25"/>
      <c r="F611" s="25"/>
    </row>
    <row r="612">
      <c r="D612" s="25"/>
      <c r="E612" s="25"/>
      <c r="F612" s="25"/>
    </row>
    <row r="613">
      <c r="D613" s="25"/>
      <c r="E613" s="25"/>
      <c r="F613" s="25"/>
    </row>
    <row r="614">
      <c r="D614" s="25"/>
      <c r="E614" s="25"/>
      <c r="F614" s="25"/>
    </row>
    <row r="615">
      <c r="D615" s="25"/>
      <c r="E615" s="25"/>
      <c r="F615" s="25"/>
    </row>
    <row r="616">
      <c r="C616" s="24"/>
      <c r="D616" s="25"/>
      <c r="E616" s="25"/>
      <c r="F616" s="25"/>
    </row>
    <row r="617">
      <c r="C617" s="24"/>
      <c r="D617" s="25"/>
      <c r="E617" s="25"/>
      <c r="F617" s="25"/>
    </row>
    <row r="618">
      <c r="C618" s="24"/>
      <c r="D618" s="25"/>
      <c r="E618" s="25"/>
      <c r="F618" s="25"/>
    </row>
    <row r="619">
      <c r="C619" s="24"/>
      <c r="D619" s="25"/>
      <c r="E619" s="25"/>
      <c r="F619" s="25"/>
    </row>
    <row r="620">
      <c r="C620" s="24"/>
      <c r="D620" s="25"/>
      <c r="E620" s="25"/>
      <c r="F620" s="25"/>
    </row>
    <row r="621">
      <c r="C621" s="24"/>
      <c r="D621" s="25"/>
      <c r="E621" s="25"/>
      <c r="F621" s="25"/>
    </row>
    <row r="622">
      <c r="C622" s="24"/>
      <c r="D622" s="25"/>
      <c r="E622" s="25"/>
      <c r="F622" s="25"/>
    </row>
    <row r="623">
      <c r="C623" s="24"/>
      <c r="D623" s="25"/>
      <c r="E623" s="25"/>
      <c r="F623" s="25"/>
    </row>
    <row r="624">
      <c r="C624" s="24"/>
      <c r="D624" s="25"/>
      <c r="E624" s="25"/>
      <c r="F624" s="25"/>
    </row>
    <row r="625">
      <c r="C625" s="24"/>
      <c r="D625" s="25"/>
      <c r="E625" s="25"/>
      <c r="F625" s="25"/>
    </row>
    <row r="626">
      <c r="C626" s="24"/>
      <c r="D626" s="25"/>
      <c r="E626" s="25"/>
      <c r="F626" s="25"/>
    </row>
    <row r="627">
      <c r="B627" s="24"/>
      <c r="C627" s="24"/>
      <c r="D627" s="25"/>
      <c r="E627" s="25"/>
      <c r="F627" s="25"/>
    </row>
    <row r="628">
      <c r="D628" s="25"/>
      <c r="E628" s="25"/>
      <c r="F628" s="25"/>
    </row>
    <row r="629">
      <c r="D629" s="25"/>
      <c r="E629" s="25"/>
      <c r="F629" s="25"/>
    </row>
    <row r="630">
      <c r="D630" s="25"/>
      <c r="E630" s="25"/>
      <c r="F630" s="25"/>
    </row>
    <row r="631">
      <c r="D631" s="25"/>
      <c r="E631" s="25"/>
      <c r="F631" s="25"/>
    </row>
    <row r="632">
      <c r="A632" s="24"/>
      <c r="B632" s="24"/>
      <c r="C632" s="24"/>
      <c r="D632" s="25"/>
      <c r="E632" s="25"/>
      <c r="F632" s="25"/>
    </row>
    <row r="633">
      <c r="C633" s="24"/>
      <c r="D633" s="25"/>
      <c r="E633" s="25"/>
      <c r="F633" s="25"/>
    </row>
    <row r="634">
      <c r="C634" s="24"/>
      <c r="D634" s="25"/>
      <c r="E634" s="25"/>
      <c r="F634" s="25"/>
    </row>
    <row r="635">
      <c r="B635" s="24"/>
      <c r="C635" s="24"/>
      <c r="D635" s="25"/>
      <c r="E635" s="25"/>
      <c r="F635" s="25"/>
    </row>
    <row r="636">
      <c r="C636" s="24"/>
      <c r="D636" s="25"/>
      <c r="E636" s="25"/>
      <c r="F636" s="25"/>
    </row>
    <row r="637">
      <c r="C637" s="24"/>
      <c r="D637" s="25"/>
      <c r="E637" s="25"/>
      <c r="F637" s="25"/>
    </row>
    <row r="638">
      <c r="A638" s="24"/>
      <c r="B638" s="24"/>
      <c r="C638" s="24"/>
      <c r="D638" s="25"/>
      <c r="E638" s="25"/>
      <c r="F638" s="25"/>
    </row>
    <row r="639">
      <c r="B639" s="24"/>
      <c r="C639" s="24"/>
      <c r="D639" s="25"/>
      <c r="E639" s="25"/>
      <c r="F639" s="25"/>
    </row>
    <row r="640">
      <c r="A640" s="24"/>
      <c r="B640" s="24"/>
      <c r="C640" s="24"/>
      <c r="D640" s="25"/>
      <c r="E640" s="25"/>
      <c r="F640" s="25"/>
    </row>
    <row r="641">
      <c r="A641" s="24"/>
      <c r="D641" s="25"/>
      <c r="E641" s="25"/>
      <c r="F641" s="25"/>
    </row>
    <row r="642">
      <c r="A642" s="24"/>
      <c r="B642" s="24"/>
      <c r="C642" s="24"/>
      <c r="D642" s="25"/>
      <c r="E642" s="25"/>
      <c r="F642" s="25"/>
    </row>
    <row r="643">
      <c r="A643" s="24"/>
      <c r="B643" s="24"/>
      <c r="C643" s="24"/>
      <c r="D643" s="25"/>
      <c r="E643" s="25"/>
      <c r="F643" s="25"/>
    </row>
    <row r="644">
      <c r="C644" s="24"/>
      <c r="D644" s="25"/>
      <c r="E644" s="25"/>
      <c r="F644" s="25"/>
    </row>
    <row r="645">
      <c r="C645" s="24"/>
      <c r="D645" s="25"/>
      <c r="E645" s="25"/>
      <c r="F645" s="25"/>
    </row>
    <row r="646">
      <c r="C646" s="24"/>
      <c r="D646" s="25"/>
      <c r="E646" s="25"/>
      <c r="F646" s="25"/>
    </row>
    <row r="647">
      <c r="B647" s="24"/>
      <c r="C647" s="24"/>
      <c r="D647" s="25"/>
      <c r="E647" s="25"/>
      <c r="F647" s="25"/>
    </row>
    <row r="648">
      <c r="C648" s="24"/>
      <c r="D648" s="25"/>
      <c r="E648" s="25"/>
      <c r="F648" s="25"/>
    </row>
    <row r="649">
      <c r="A649" s="24"/>
      <c r="B649" s="24"/>
      <c r="C649" s="24"/>
      <c r="D649" s="25"/>
      <c r="E649" s="25"/>
      <c r="F649" s="25"/>
    </row>
    <row r="650">
      <c r="C650" s="24"/>
      <c r="D650" s="25"/>
      <c r="E650" s="25"/>
      <c r="F650" s="25"/>
    </row>
    <row r="651">
      <c r="C651" s="24"/>
      <c r="D651" s="25"/>
      <c r="E651" s="25"/>
      <c r="F651" s="25"/>
    </row>
    <row r="652">
      <c r="C652" s="24"/>
      <c r="D652" s="25"/>
      <c r="E652" s="25"/>
      <c r="F652" s="25"/>
    </row>
    <row r="653">
      <c r="A653" s="24"/>
      <c r="B653" s="24"/>
      <c r="C653" s="24"/>
      <c r="D653" s="25"/>
      <c r="E653" s="25"/>
      <c r="F653" s="25"/>
    </row>
    <row r="654">
      <c r="B654" s="24"/>
      <c r="C654" s="24"/>
      <c r="D654" s="25"/>
      <c r="E654" s="25"/>
      <c r="F654" s="25"/>
    </row>
    <row r="655">
      <c r="C655" s="24"/>
      <c r="D655" s="25"/>
      <c r="E655" s="25"/>
      <c r="F655" s="25"/>
    </row>
    <row r="656">
      <c r="C656" s="24"/>
      <c r="D656" s="25"/>
      <c r="E656" s="25"/>
      <c r="F656" s="25"/>
    </row>
    <row r="657">
      <c r="C657" s="24"/>
      <c r="D657" s="25"/>
      <c r="E657" s="25"/>
      <c r="F657" s="25"/>
    </row>
    <row r="658">
      <c r="C658" s="24"/>
      <c r="D658" s="25"/>
      <c r="E658" s="25"/>
      <c r="F658" s="25"/>
    </row>
    <row r="659">
      <c r="C659" s="24"/>
      <c r="D659" s="25"/>
      <c r="E659" s="25"/>
      <c r="F659" s="25"/>
    </row>
    <row r="660">
      <c r="C660" s="24"/>
      <c r="D660" s="25"/>
      <c r="E660" s="25"/>
      <c r="F660" s="25"/>
    </row>
    <row r="661">
      <c r="C661" s="24"/>
      <c r="D661" s="25"/>
      <c r="E661" s="25"/>
      <c r="F661" s="25"/>
    </row>
    <row r="662">
      <c r="C662" s="24"/>
      <c r="D662" s="25"/>
      <c r="E662" s="25"/>
      <c r="F662" s="25"/>
    </row>
    <row r="663">
      <c r="C663" s="24"/>
      <c r="D663" s="25"/>
      <c r="E663" s="25"/>
      <c r="F663" s="25"/>
    </row>
    <row r="664">
      <c r="C664" s="24"/>
      <c r="D664" s="25"/>
      <c r="E664" s="25"/>
      <c r="F664" s="25"/>
    </row>
    <row r="665">
      <c r="C665" s="24"/>
      <c r="D665" s="25"/>
      <c r="E665" s="25"/>
      <c r="F665" s="25"/>
    </row>
    <row r="666">
      <c r="C666" s="24"/>
      <c r="D666" s="25"/>
      <c r="E666" s="25"/>
      <c r="F666" s="25"/>
    </row>
    <row r="667">
      <c r="C667" s="24"/>
      <c r="D667" s="25"/>
      <c r="E667" s="25"/>
      <c r="F667" s="25"/>
    </row>
    <row r="668">
      <c r="A668" s="24"/>
      <c r="B668" s="24"/>
      <c r="C668" s="24"/>
      <c r="D668" s="25"/>
      <c r="E668" s="25"/>
      <c r="F668" s="25"/>
    </row>
    <row r="669">
      <c r="D669" s="25"/>
      <c r="E669" s="25"/>
      <c r="F669" s="25"/>
    </row>
    <row r="670">
      <c r="D670" s="25"/>
      <c r="E670" s="25"/>
      <c r="F670" s="25"/>
    </row>
    <row r="671">
      <c r="D671" s="25"/>
      <c r="E671" s="25"/>
      <c r="F671" s="25"/>
    </row>
    <row r="672">
      <c r="D672" s="25"/>
      <c r="E672" s="25"/>
      <c r="F672" s="25"/>
    </row>
    <row r="673">
      <c r="D673" s="25"/>
      <c r="E673" s="25"/>
      <c r="F673" s="25"/>
    </row>
    <row r="674">
      <c r="D674" s="25"/>
      <c r="E674" s="25"/>
      <c r="F674" s="25"/>
    </row>
    <row r="675">
      <c r="D675" s="25"/>
      <c r="E675" s="25"/>
      <c r="F675" s="25"/>
    </row>
    <row r="676">
      <c r="D676" s="25"/>
      <c r="E676" s="25"/>
      <c r="F676" s="25"/>
    </row>
    <row r="677">
      <c r="D677" s="25"/>
      <c r="E677" s="25"/>
      <c r="F677" s="25"/>
    </row>
    <row r="678">
      <c r="D678" s="25"/>
      <c r="E678" s="25"/>
      <c r="F678" s="25"/>
    </row>
    <row r="679">
      <c r="C679" s="24"/>
      <c r="D679" s="25"/>
      <c r="E679" s="25"/>
      <c r="F679" s="25"/>
    </row>
    <row r="680">
      <c r="C680" s="24"/>
      <c r="D680" s="25"/>
      <c r="E680" s="25"/>
      <c r="F680" s="25"/>
    </row>
    <row r="681">
      <c r="C681" s="24"/>
      <c r="D681" s="25"/>
      <c r="E681" s="25"/>
      <c r="F681" s="25"/>
    </row>
    <row r="682">
      <c r="C682" s="24"/>
      <c r="D682" s="25"/>
      <c r="E682" s="25"/>
      <c r="F682" s="25"/>
    </row>
    <row r="683">
      <c r="C683" s="24"/>
      <c r="D683" s="25"/>
      <c r="E683" s="25"/>
      <c r="F683" s="25"/>
    </row>
    <row r="684">
      <c r="C684" s="24"/>
      <c r="D684" s="25"/>
      <c r="E684" s="25"/>
      <c r="F684" s="25"/>
    </row>
    <row r="685">
      <c r="C685" s="24"/>
      <c r="D685" s="25"/>
      <c r="E685" s="25"/>
      <c r="F685" s="25"/>
    </row>
    <row r="686">
      <c r="C686" s="24"/>
      <c r="D686" s="25"/>
      <c r="E686" s="25"/>
      <c r="F686" s="25"/>
    </row>
    <row r="687">
      <c r="C687" s="24"/>
      <c r="D687" s="25"/>
      <c r="E687" s="25"/>
      <c r="F687" s="25"/>
    </row>
    <row r="688">
      <c r="C688" s="24"/>
      <c r="D688" s="25"/>
      <c r="E688" s="25"/>
      <c r="F688" s="25"/>
    </row>
    <row r="689">
      <c r="C689" s="24"/>
      <c r="D689" s="25"/>
      <c r="E689" s="25"/>
      <c r="F689" s="25"/>
    </row>
    <row r="690">
      <c r="B690" s="24"/>
      <c r="C690" s="24"/>
      <c r="D690" s="25"/>
      <c r="E690" s="25"/>
      <c r="F690" s="25"/>
    </row>
    <row r="691">
      <c r="D691" s="25"/>
      <c r="E691" s="25"/>
      <c r="F691" s="25"/>
    </row>
    <row r="692">
      <c r="D692" s="25"/>
      <c r="E692" s="25"/>
      <c r="F692" s="25"/>
    </row>
    <row r="693">
      <c r="D693" s="25"/>
      <c r="E693" s="25"/>
      <c r="F693" s="25"/>
    </row>
    <row r="694">
      <c r="D694" s="25"/>
      <c r="E694" s="25"/>
      <c r="F694" s="25"/>
    </row>
    <row r="695">
      <c r="A695" s="24"/>
      <c r="B695" s="24"/>
      <c r="C695" s="24"/>
      <c r="D695" s="25"/>
      <c r="E695" s="25"/>
      <c r="F695" s="25"/>
    </row>
    <row r="696">
      <c r="C696" s="24"/>
      <c r="D696" s="25"/>
      <c r="E696" s="25"/>
      <c r="F696" s="25"/>
    </row>
    <row r="697">
      <c r="C697" s="24"/>
      <c r="D697" s="25"/>
      <c r="E697" s="25"/>
      <c r="F697" s="25"/>
    </row>
    <row r="698">
      <c r="B698" s="24"/>
      <c r="C698" s="24"/>
      <c r="D698" s="25"/>
      <c r="E698" s="25"/>
      <c r="F698" s="25"/>
    </row>
    <row r="699">
      <c r="C699" s="24"/>
      <c r="D699" s="25"/>
      <c r="E699" s="25"/>
      <c r="F699" s="25"/>
    </row>
    <row r="700">
      <c r="C700" s="24"/>
      <c r="D700" s="25"/>
      <c r="E700" s="25"/>
      <c r="F700" s="25"/>
    </row>
    <row r="701">
      <c r="A701" s="24"/>
      <c r="B701" s="24"/>
      <c r="C701" s="24"/>
      <c r="D701" s="25"/>
      <c r="E701" s="25"/>
      <c r="F701" s="25"/>
    </row>
    <row r="702">
      <c r="B702" s="24"/>
      <c r="C702" s="24"/>
      <c r="D702" s="25"/>
      <c r="E702" s="25"/>
      <c r="F702" s="25"/>
    </row>
    <row r="703">
      <c r="A703" s="24"/>
      <c r="B703" s="24"/>
      <c r="C703" s="24"/>
      <c r="D703" s="25"/>
      <c r="E703" s="25"/>
      <c r="F703" s="25"/>
    </row>
    <row r="704">
      <c r="A704" s="24"/>
      <c r="D704" s="25"/>
      <c r="E704" s="25"/>
      <c r="F704" s="25"/>
    </row>
    <row r="705">
      <c r="A705" s="24"/>
      <c r="B705" s="24"/>
      <c r="C705" s="24"/>
      <c r="D705" s="25"/>
      <c r="E705" s="25"/>
      <c r="F705" s="25"/>
    </row>
    <row r="706">
      <c r="A706" s="24"/>
      <c r="B706" s="24"/>
      <c r="C706" s="24"/>
      <c r="D706" s="25"/>
      <c r="E706" s="25"/>
      <c r="F706" s="25"/>
    </row>
    <row r="707">
      <c r="C707" s="24"/>
      <c r="D707" s="25"/>
      <c r="E707" s="25"/>
      <c r="F707" s="25"/>
    </row>
    <row r="708">
      <c r="C708" s="24"/>
      <c r="D708" s="25"/>
      <c r="E708" s="25"/>
      <c r="F708" s="25"/>
    </row>
    <row r="709">
      <c r="C709" s="24"/>
      <c r="D709" s="25"/>
      <c r="E709" s="25"/>
      <c r="F709" s="25"/>
    </row>
    <row r="710">
      <c r="B710" s="24"/>
      <c r="C710" s="24"/>
      <c r="D710" s="25"/>
      <c r="E710" s="25"/>
      <c r="F710" s="25"/>
    </row>
    <row r="711">
      <c r="C711" s="24"/>
      <c r="D711" s="25"/>
      <c r="E711" s="25"/>
      <c r="F711" s="25"/>
    </row>
    <row r="712">
      <c r="A712" s="24"/>
      <c r="B712" s="24"/>
      <c r="C712" s="24"/>
      <c r="D712" s="25"/>
      <c r="E712" s="25"/>
      <c r="F712" s="25"/>
    </row>
    <row r="713">
      <c r="C713" s="24"/>
      <c r="D713" s="25"/>
      <c r="E713" s="25"/>
      <c r="F713" s="25"/>
    </row>
    <row r="714">
      <c r="C714" s="24"/>
      <c r="D714" s="25"/>
      <c r="E714" s="25"/>
      <c r="F714" s="25"/>
    </row>
    <row r="715">
      <c r="C715" s="24"/>
      <c r="D715" s="25"/>
      <c r="E715" s="25"/>
      <c r="F715" s="25"/>
    </row>
    <row r="716">
      <c r="A716" s="24"/>
      <c r="B716" s="24"/>
      <c r="C716" s="24"/>
      <c r="D716" s="25"/>
      <c r="E716" s="25"/>
      <c r="F716" s="25"/>
    </row>
    <row r="717">
      <c r="B717" s="24"/>
      <c r="C717" s="24"/>
      <c r="D717" s="25"/>
      <c r="E717" s="25"/>
      <c r="F717" s="25"/>
    </row>
    <row r="718">
      <c r="C718" s="24"/>
      <c r="D718" s="25"/>
      <c r="E718" s="25"/>
      <c r="F718" s="25"/>
    </row>
    <row r="719">
      <c r="C719" s="24"/>
      <c r="D719" s="25"/>
      <c r="E719" s="25"/>
      <c r="F719" s="25"/>
    </row>
    <row r="720">
      <c r="C720" s="24"/>
      <c r="D720" s="25"/>
      <c r="E720" s="25"/>
      <c r="F720" s="25"/>
    </row>
    <row r="721">
      <c r="C721" s="24"/>
      <c r="D721" s="25"/>
      <c r="E721" s="25"/>
      <c r="F721" s="25"/>
    </row>
    <row r="722">
      <c r="C722" s="24"/>
      <c r="D722" s="25"/>
      <c r="E722" s="25"/>
      <c r="F722" s="25"/>
    </row>
    <row r="723">
      <c r="C723" s="24"/>
      <c r="D723" s="25"/>
      <c r="E723" s="25"/>
      <c r="F723" s="25"/>
    </row>
    <row r="724">
      <c r="C724" s="24"/>
      <c r="D724" s="25"/>
      <c r="E724" s="25"/>
      <c r="F724" s="25"/>
    </row>
    <row r="725">
      <c r="C725" s="24"/>
      <c r="D725" s="25"/>
      <c r="E725" s="25"/>
      <c r="F725" s="25"/>
    </row>
    <row r="726">
      <c r="C726" s="24"/>
      <c r="D726" s="25"/>
      <c r="E726" s="25"/>
      <c r="F726" s="25"/>
    </row>
    <row r="727">
      <c r="C727" s="24"/>
      <c r="D727" s="25"/>
      <c r="E727" s="25"/>
      <c r="F727" s="25"/>
    </row>
    <row r="728">
      <c r="C728" s="24"/>
      <c r="D728" s="25"/>
      <c r="E728" s="25"/>
      <c r="F728" s="25"/>
    </row>
    <row r="729">
      <c r="C729" s="24"/>
      <c r="D729" s="25"/>
      <c r="E729" s="25"/>
      <c r="F729" s="25"/>
    </row>
    <row r="730">
      <c r="C730" s="24"/>
      <c r="D730" s="25"/>
      <c r="E730" s="25"/>
      <c r="F730" s="25"/>
    </row>
    <row r="731">
      <c r="A731" s="24"/>
      <c r="B731" s="24"/>
      <c r="C731" s="24"/>
      <c r="D731" s="25"/>
      <c r="E731" s="25"/>
      <c r="F731" s="25"/>
    </row>
    <row r="732">
      <c r="D732" s="25"/>
      <c r="E732" s="25"/>
      <c r="F732" s="25"/>
    </row>
    <row r="733">
      <c r="D733" s="25"/>
      <c r="E733" s="25"/>
      <c r="F733" s="25"/>
    </row>
    <row r="734">
      <c r="D734" s="25"/>
      <c r="E734" s="25"/>
      <c r="F734" s="25"/>
    </row>
    <row r="735">
      <c r="D735" s="25"/>
      <c r="E735" s="25"/>
      <c r="F735" s="25"/>
    </row>
    <row r="736">
      <c r="D736" s="25"/>
      <c r="E736" s="25"/>
      <c r="F736" s="25"/>
    </row>
    <row r="737">
      <c r="D737" s="25"/>
      <c r="E737" s="25"/>
      <c r="F737" s="25"/>
    </row>
    <row r="738">
      <c r="D738" s="25"/>
      <c r="E738" s="25"/>
      <c r="F738" s="25"/>
    </row>
    <row r="739">
      <c r="D739" s="25"/>
      <c r="E739" s="25"/>
      <c r="F739" s="25"/>
    </row>
    <row r="740">
      <c r="D740" s="25"/>
      <c r="E740" s="25"/>
      <c r="F740" s="25"/>
    </row>
    <row r="741">
      <c r="D741" s="25"/>
      <c r="E741" s="25"/>
      <c r="F741" s="25"/>
    </row>
    <row r="742">
      <c r="C742" s="24"/>
      <c r="D742" s="25"/>
      <c r="E742" s="25"/>
      <c r="F742" s="25"/>
    </row>
    <row r="743">
      <c r="C743" s="24"/>
      <c r="D743" s="25"/>
      <c r="E743" s="25"/>
      <c r="F743" s="25"/>
    </row>
    <row r="744">
      <c r="C744" s="24"/>
      <c r="D744" s="25"/>
      <c r="E744" s="25"/>
      <c r="F744" s="25"/>
    </row>
    <row r="745">
      <c r="C745" s="24"/>
      <c r="D745" s="25"/>
      <c r="E745" s="25"/>
      <c r="F745" s="25"/>
    </row>
    <row r="746">
      <c r="C746" s="24"/>
      <c r="D746" s="25"/>
      <c r="E746" s="25"/>
      <c r="F746" s="25"/>
    </row>
    <row r="747">
      <c r="C747" s="24"/>
      <c r="D747" s="25"/>
      <c r="E747" s="25"/>
      <c r="F747" s="25"/>
    </row>
    <row r="748">
      <c r="C748" s="24"/>
      <c r="D748" s="25"/>
      <c r="E748" s="25"/>
      <c r="F748" s="25"/>
    </row>
    <row r="749">
      <c r="C749" s="24"/>
      <c r="D749" s="25"/>
      <c r="E749" s="25"/>
      <c r="F749" s="25"/>
    </row>
    <row r="750">
      <c r="C750" s="24"/>
      <c r="D750" s="25"/>
      <c r="E750" s="25"/>
      <c r="F750" s="25"/>
    </row>
    <row r="751">
      <c r="C751" s="24"/>
      <c r="D751" s="25"/>
      <c r="E751" s="25"/>
      <c r="F751" s="25"/>
    </row>
    <row r="752">
      <c r="C752" s="24"/>
      <c r="D752" s="25"/>
      <c r="E752" s="25"/>
      <c r="F752" s="25"/>
    </row>
    <row r="753">
      <c r="B753" s="24"/>
      <c r="C753" s="24"/>
      <c r="D753" s="25"/>
      <c r="E753" s="25"/>
      <c r="F753" s="25"/>
    </row>
    <row r="754">
      <c r="D754" s="25"/>
      <c r="E754" s="25"/>
      <c r="F754" s="25"/>
    </row>
    <row r="755">
      <c r="D755" s="25"/>
      <c r="E755" s="25"/>
      <c r="F755" s="25"/>
    </row>
    <row r="756">
      <c r="D756" s="25"/>
      <c r="E756" s="25"/>
      <c r="F756" s="25"/>
    </row>
    <row r="757">
      <c r="D757" s="25"/>
      <c r="E757" s="25"/>
      <c r="F757" s="25"/>
    </row>
    <row r="758">
      <c r="A758" s="24"/>
      <c r="B758" s="24"/>
      <c r="C758" s="24"/>
      <c r="D758" s="25"/>
      <c r="E758" s="25"/>
      <c r="F758" s="25"/>
    </row>
    <row r="759">
      <c r="C759" s="24"/>
      <c r="D759" s="25"/>
      <c r="E759" s="25"/>
      <c r="F759" s="25"/>
    </row>
    <row r="760">
      <c r="C760" s="24"/>
      <c r="D760" s="25"/>
      <c r="E760" s="25"/>
      <c r="F760" s="25"/>
    </row>
    <row r="761">
      <c r="B761" s="24"/>
      <c r="C761" s="24"/>
      <c r="D761" s="25"/>
      <c r="E761" s="25"/>
      <c r="F761" s="25"/>
    </row>
    <row r="762">
      <c r="C762" s="24"/>
      <c r="D762" s="25"/>
      <c r="E762" s="25"/>
      <c r="F762" s="25"/>
    </row>
    <row r="763">
      <c r="C763" s="24"/>
      <c r="D763" s="25"/>
      <c r="E763" s="25"/>
      <c r="F763" s="25"/>
    </row>
    <row r="764">
      <c r="A764" s="24"/>
      <c r="B764" s="24"/>
      <c r="C764" s="24"/>
      <c r="D764" s="25"/>
      <c r="E764" s="25"/>
      <c r="F764" s="25"/>
    </row>
    <row r="765">
      <c r="B765" s="24"/>
      <c r="C765" s="24"/>
      <c r="D765" s="25"/>
      <c r="E765" s="25"/>
      <c r="F765" s="25"/>
    </row>
    <row r="766">
      <c r="A766" s="24"/>
      <c r="B766" s="24"/>
      <c r="C766" s="24"/>
      <c r="D766" s="25"/>
      <c r="E766" s="25"/>
      <c r="F766" s="25"/>
    </row>
    <row r="767">
      <c r="A767" s="24"/>
      <c r="D767" s="25"/>
      <c r="E767" s="25"/>
      <c r="F767" s="25"/>
    </row>
    <row r="768">
      <c r="A768" s="24"/>
      <c r="B768" s="24"/>
      <c r="C768" s="24"/>
      <c r="D768" s="25"/>
      <c r="E768" s="25"/>
      <c r="F768" s="25"/>
    </row>
    <row r="769">
      <c r="A769" s="24"/>
      <c r="B769" s="24"/>
      <c r="C769" s="24"/>
      <c r="D769" s="25"/>
      <c r="E769" s="25"/>
      <c r="F769" s="25"/>
    </row>
    <row r="770">
      <c r="C770" s="24"/>
      <c r="D770" s="25"/>
      <c r="E770" s="25"/>
      <c r="F770" s="25"/>
    </row>
    <row r="771">
      <c r="C771" s="24"/>
      <c r="D771" s="25"/>
      <c r="E771" s="25"/>
      <c r="F771" s="25"/>
    </row>
    <row r="772">
      <c r="C772" s="24"/>
      <c r="D772" s="25"/>
      <c r="E772" s="25"/>
      <c r="F772" s="25"/>
    </row>
    <row r="773">
      <c r="B773" s="24"/>
      <c r="C773" s="24"/>
      <c r="D773" s="25"/>
      <c r="E773" s="25"/>
      <c r="F773" s="25"/>
    </row>
    <row r="774">
      <c r="C774" s="24"/>
      <c r="D774" s="25"/>
      <c r="E774" s="25"/>
      <c r="F774" s="25"/>
    </row>
    <row r="775">
      <c r="A775" s="24"/>
      <c r="B775" s="24"/>
      <c r="C775" s="24"/>
      <c r="D775" s="25"/>
      <c r="E775" s="25"/>
      <c r="F775" s="25"/>
    </row>
    <row r="776">
      <c r="C776" s="24"/>
      <c r="D776" s="25"/>
      <c r="E776" s="25"/>
      <c r="F776" s="25"/>
    </row>
    <row r="777">
      <c r="C777" s="24"/>
      <c r="D777" s="25"/>
      <c r="E777" s="25"/>
      <c r="F777" s="25"/>
    </row>
    <row r="778">
      <c r="C778" s="24"/>
      <c r="D778" s="25"/>
      <c r="E778" s="25"/>
      <c r="F778" s="25"/>
    </row>
    <row r="779">
      <c r="A779" s="24"/>
      <c r="B779" s="24"/>
      <c r="C779" s="24"/>
      <c r="D779" s="25"/>
      <c r="E779" s="25"/>
      <c r="F779" s="25"/>
    </row>
    <row r="780">
      <c r="B780" s="24"/>
      <c r="C780" s="24"/>
      <c r="D780" s="25"/>
      <c r="E780" s="25"/>
      <c r="F780" s="25"/>
    </row>
    <row r="781">
      <c r="C781" s="24"/>
      <c r="D781" s="25"/>
      <c r="E781" s="25"/>
      <c r="F781" s="25"/>
    </row>
    <row r="782">
      <c r="C782" s="24"/>
      <c r="D782" s="25"/>
      <c r="E782" s="25"/>
      <c r="F782" s="25"/>
    </row>
    <row r="783">
      <c r="C783" s="24"/>
      <c r="D783" s="25"/>
      <c r="E783" s="25"/>
      <c r="F783" s="25"/>
    </row>
    <row r="784">
      <c r="C784" s="24"/>
      <c r="D784" s="25"/>
      <c r="E784" s="25"/>
      <c r="F784" s="25"/>
    </row>
    <row r="785">
      <c r="C785" s="24"/>
      <c r="D785" s="25"/>
      <c r="E785" s="25"/>
      <c r="F785" s="25"/>
    </row>
    <row r="786">
      <c r="C786" s="24"/>
      <c r="D786" s="25"/>
      <c r="E786" s="25"/>
      <c r="F786" s="25"/>
    </row>
    <row r="787">
      <c r="C787" s="24"/>
      <c r="D787" s="25"/>
      <c r="E787" s="25"/>
      <c r="F787" s="25"/>
    </row>
    <row r="788">
      <c r="C788" s="24"/>
      <c r="D788" s="25"/>
      <c r="E788" s="25"/>
      <c r="F788" s="25"/>
    </row>
    <row r="789">
      <c r="C789" s="24"/>
      <c r="D789" s="25"/>
      <c r="E789" s="25"/>
      <c r="F789" s="25"/>
    </row>
    <row r="790">
      <c r="C790" s="24"/>
      <c r="D790" s="25"/>
      <c r="E790" s="25"/>
      <c r="F790" s="25"/>
    </row>
    <row r="791">
      <c r="C791" s="24"/>
      <c r="D791" s="25"/>
      <c r="E791" s="25"/>
      <c r="F791" s="25"/>
    </row>
    <row r="792">
      <c r="C792" s="24"/>
      <c r="D792" s="25"/>
      <c r="E792" s="25"/>
      <c r="F792" s="25"/>
    </row>
    <row r="793">
      <c r="C793" s="24"/>
      <c r="D793" s="25"/>
      <c r="E793" s="25"/>
      <c r="F793" s="25"/>
    </row>
    <row r="794">
      <c r="A794" s="24"/>
      <c r="B794" s="24"/>
      <c r="C794" s="24"/>
      <c r="D794" s="25"/>
      <c r="E794" s="25"/>
      <c r="F794" s="25"/>
    </row>
    <row r="795">
      <c r="D795" s="25"/>
      <c r="E795" s="25"/>
      <c r="F795" s="25"/>
    </row>
    <row r="796">
      <c r="D796" s="25"/>
      <c r="E796" s="25"/>
      <c r="F796" s="25"/>
    </row>
    <row r="797">
      <c r="D797" s="25"/>
      <c r="E797" s="25"/>
      <c r="F797" s="25"/>
    </row>
    <row r="798">
      <c r="D798" s="25"/>
      <c r="E798" s="25"/>
      <c r="F798" s="25"/>
    </row>
    <row r="799">
      <c r="D799" s="25"/>
      <c r="E799" s="25"/>
      <c r="F799" s="25"/>
    </row>
    <row r="800">
      <c r="D800" s="25"/>
      <c r="E800" s="25"/>
      <c r="F800" s="25"/>
    </row>
    <row r="801">
      <c r="D801" s="25"/>
      <c r="E801" s="25"/>
      <c r="F801" s="25"/>
    </row>
    <row r="802">
      <c r="D802" s="25"/>
      <c r="E802" s="25"/>
      <c r="F802" s="25"/>
    </row>
    <row r="803">
      <c r="D803" s="25"/>
      <c r="E803" s="25"/>
      <c r="F803" s="25"/>
    </row>
    <row r="804">
      <c r="D804" s="25"/>
      <c r="E804" s="25"/>
      <c r="F804" s="25"/>
    </row>
    <row r="805">
      <c r="C805" s="24"/>
      <c r="D805" s="25"/>
      <c r="E805" s="25"/>
      <c r="F805" s="25"/>
    </row>
    <row r="806">
      <c r="C806" s="24"/>
      <c r="D806" s="25"/>
      <c r="E806" s="25"/>
      <c r="F806" s="25"/>
    </row>
    <row r="807">
      <c r="C807" s="24"/>
      <c r="D807" s="25"/>
      <c r="E807" s="25"/>
      <c r="F807" s="25"/>
    </row>
    <row r="808">
      <c r="C808" s="24"/>
      <c r="D808" s="25"/>
      <c r="E808" s="25"/>
      <c r="F808" s="25"/>
    </row>
    <row r="809">
      <c r="C809" s="24"/>
      <c r="D809" s="25"/>
      <c r="E809" s="25"/>
      <c r="F809" s="25"/>
    </row>
    <row r="810">
      <c r="C810" s="24"/>
      <c r="D810" s="25"/>
      <c r="E810" s="25"/>
      <c r="F810" s="25"/>
    </row>
    <row r="811">
      <c r="C811" s="24"/>
      <c r="D811" s="25"/>
      <c r="E811" s="25"/>
      <c r="F811" s="25"/>
    </row>
    <row r="812">
      <c r="C812" s="24"/>
      <c r="D812" s="25"/>
      <c r="E812" s="25"/>
      <c r="F812" s="25"/>
    </row>
    <row r="813">
      <c r="C813" s="24"/>
      <c r="D813" s="25"/>
      <c r="E813" s="25"/>
      <c r="F813" s="25"/>
    </row>
    <row r="814">
      <c r="C814" s="24"/>
      <c r="D814" s="25"/>
      <c r="E814" s="25"/>
      <c r="F814" s="25"/>
    </row>
    <row r="815">
      <c r="B815" s="24"/>
      <c r="C815" s="24"/>
      <c r="D815" s="25"/>
      <c r="E815" s="25"/>
      <c r="F815" s="25"/>
    </row>
    <row r="816">
      <c r="D816" s="25"/>
      <c r="E816" s="25"/>
      <c r="F816" s="25"/>
    </row>
    <row r="817">
      <c r="D817" s="25"/>
      <c r="E817" s="25"/>
      <c r="F817" s="25"/>
    </row>
    <row r="818">
      <c r="D818" s="25"/>
      <c r="E818" s="25"/>
      <c r="F818" s="25"/>
    </row>
    <row r="819">
      <c r="D819" s="25"/>
      <c r="E819" s="25"/>
      <c r="F819" s="25"/>
    </row>
    <row r="820">
      <c r="A820" s="24"/>
      <c r="B820" s="24"/>
      <c r="C820" s="24"/>
      <c r="D820" s="25"/>
      <c r="E820" s="25"/>
      <c r="F820" s="25"/>
    </row>
    <row r="821">
      <c r="C821" s="24"/>
      <c r="D821" s="25"/>
      <c r="E821" s="25"/>
      <c r="F821" s="25"/>
    </row>
    <row r="822">
      <c r="C822" s="24"/>
      <c r="D822" s="25"/>
      <c r="E822" s="25"/>
      <c r="F822" s="25"/>
    </row>
    <row r="823">
      <c r="B823" s="24"/>
      <c r="C823" s="24"/>
      <c r="D823" s="25"/>
      <c r="E823" s="25"/>
      <c r="F823" s="25"/>
    </row>
    <row r="824">
      <c r="C824" s="24"/>
      <c r="D824" s="25"/>
      <c r="E824" s="25"/>
      <c r="F824" s="25"/>
    </row>
    <row r="825">
      <c r="C825" s="24"/>
      <c r="D825" s="25"/>
      <c r="E825" s="25"/>
      <c r="F825" s="25"/>
    </row>
    <row r="826">
      <c r="A826" s="24"/>
      <c r="B826" s="24"/>
      <c r="C826" s="24"/>
      <c r="D826" s="25"/>
      <c r="E826" s="25"/>
      <c r="F826" s="25"/>
    </row>
    <row r="827">
      <c r="B827" s="24"/>
      <c r="C827" s="24"/>
      <c r="D827" s="25"/>
      <c r="E827" s="25"/>
      <c r="F827" s="25"/>
    </row>
    <row r="828">
      <c r="A828" s="24"/>
      <c r="B828" s="24"/>
      <c r="C828" s="24"/>
      <c r="D828" s="25"/>
      <c r="E828" s="25"/>
      <c r="F828" s="25"/>
    </row>
    <row r="829">
      <c r="A829" s="24"/>
      <c r="D829" s="25"/>
      <c r="E829" s="25"/>
      <c r="F829" s="25"/>
    </row>
    <row r="830">
      <c r="A830" s="24"/>
      <c r="B830" s="24"/>
      <c r="C830" s="24"/>
      <c r="D830" s="25"/>
      <c r="E830" s="25"/>
      <c r="F830" s="25"/>
    </row>
    <row r="831">
      <c r="A831" s="24"/>
      <c r="B831" s="24"/>
      <c r="C831" s="24"/>
      <c r="D831" s="25"/>
      <c r="E831" s="25"/>
      <c r="F831" s="25"/>
    </row>
    <row r="832">
      <c r="C832" s="24"/>
      <c r="D832" s="25"/>
      <c r="E832" s="25"/>
      <c r="F832" s="25"/>
    </row>
    <row r="833">
      <c r="C833" s="24"/>
      <c r="D833" s="25"/>
      <c r="E833" s="25"/>
      <c r="F833" s="25"/>
    </row>
    <row r="834">
      <c r="C834" s="24"/>
      <c r="D834" s="25"/>
      <c r="E834" s="25"/>
      <c r="F834" s="25"/>
    </row>
    <row r="835">
      <c r="B835" s="24"/>
      <c r="C835" s="24"/>
      <c r="D835" s="25"/>
      <c r="E835" s="25"/>
      <c r="F835" s="25"/>
    </row>
    <row r="836">
      <c r="C836" s="24"/>
      <c r="D836" s="25"/>
      <c r="E836" s="25"/>
      <c r="F836" s="25"/>
    </row>
    <row r="837">
      <c r="A837" s="24"/>
      <c r="B837" s="24"/>
      <c r="C837" s="24"/>
      <c r="D837" s="25"/>
      <c r="E837" s="25"/>
      <c r="F837" s="25"/>
    </row>
    <row r="838">
      <c r="C838" s="24"/>
      <c r="D838" s="25"/>
      <c r="E838" s="25"/>
      <c r="F838" s="25"/>
    </row>
    <row r="839">
      <c r="C839" s="24"/>
      <c r="D839" s="25"/>
      <c r="E839" s="25"/>
      <c r="F839" s="25"/>
    </row>
    <row r="840">
      <c r="C840" s="24"/>
      <c r="D840" s="25"/>
      <c r="E840" s="25"/>
      <c r="F840" s="25"/>
    </row>
    <row r="841">
      <c r="A841" s="24"/>
      <c r="B841" s="24"/>
      <c r="C841" s="24"/>
      <c r="D841" s="25"/>
      <c r="E841" s="25"/>
      <c r="F841" s="25"/>
    </row>
    <row r="842">
      <c r="B842" s="24"/>
      <c r="C842" s="24"/>
      <c r="D842" s="25"/>
      <c r="E842" s="25"/>
      <c r="F842" s="25"/>
    </row>
    <row r="843">
      <c r="C843" s="24"/>
      <c r="D843" s="25"/>
      <c r="E843" s="25"/>
      <c r="F843" s="25"/>
    </row>
    <row r="844">
      <c r="C844" s="24"/>
      <c r="D844" s="25"/>
      <c r="E844" s="25"/>
      <c r="F844" s="25"/>
    </row>
    <row r="845">
      <c r="C845" s="24"/>
      <c r="D845" s="25"/>
      <c r="E845" s="25"/>
      <c r="F845" s="25"/>
    </row>
    <row r="846">
      <c r="C846" s="24"/>
      <c r="D846" s="25"/>
      <c r="E846" s="25"/>
      <c r="F846" s="25"/>
    </row>
    <row r="847">
      <c r="C847" s="24"/>
      <c r="D847" s="25"/>
      <c r="E847" s="25"/>
      <c r="F847" s="25"/>
    </row>
    <row r="848">
      <c r="C848" s="24"/>
      <c r="D848" s="25"/>
      <c r="E848" s="25"/>
      <c r="F848" s="25"/>
    </row>
    <row r="849">
      <c r="C849" s="24"/>
      <c r="D849" s="25"/>
      <c r="E849" s="25"/>
      <c r="F849" s="25"/>
    </row>
    <row r="850">
      <c r="C850" s="24"/>
      <c r="D850" s="25"/>
      <c r="E850" s="25"/>
      <c r="F850" s="25"/>
    </row>
    <row r="851">
      <c r="C851" s="24"/>
      <c r="D851" s="25"/>
      <c r="E851" s="25"/>
      <c r="F851" s="25"/>
    </row>
    <row r="852">
      <c r="C852" s="24"/>
      <c r="D852" s="25"/>
      <c r="E852" s="25"/>
      <c r="F852" s="25"/>
    </row>
    <row r="853">
      <c r="C853" s="24"/>
      <c r="D853" s="25"/>
      <c r="E853" s="25"/>
      <c r="F853" s="25"/>
    </row>
    <row r="854">
      <c r="C854" s="24"/>
      <c r="D854" s="25"/>
      <c r="E854" s="25"/>
      <c r="F854" s="25"/>
    </row>
    <row r="855">
      <c r="C855" s="24"/>
      <c r="D855" s="25"/>
      <c r="E855" s="25"/>
      <c r="F855" s="25"/>
    </row>
    <row r="856">
      <c r="A856" s="24"/>
      <c r="B856" s="24"/>
      <c r="C856" s="24"/>
      <c r="D856" s="25"/>
      <c r="E856" s="25"/>
      <c r="F856" s="25"/>
    </row>
    <row r="857">
      <c r="D857" s="25"/>
      <c r="E857" s="25"/>
      <c r="F857" s="25"/>
    </row>
    <row r="858">
      <c r="D858" s="25"/>
      <c r="E858" s="25"/>
      <c r="F858" s="25"/>
    </row>
    <row r="859">
      <c r="D859" s="25"/>
      <c r="E859" s="25"/>
      <c r="F859" s="25"/>
    </row>
    <row r="860">
      <c r="D860" s="25"/>
      <c r="E860" s="25"/>
      <c r="F860" s="25"/>
    </row>
    <row r="861">
      <c r="D861" s="25"/>
      <c r="E861" s="25"/>
      <c r="F861" s="25"/>
    </row>
    <row r="862">
      <c r="D862" s="25"/>
      <c r="E862" s="25"/>
      <c r="F862" s="25"/>
    </row>
    <row r="863">
      <c r="D863" s="25"/>
      <c r="E863" s="25"/>
      <c r="F863" s="25"/>
    </row>
    <row r="864">
      <c r="D864" s="25"/>
      <c r="E864" s="25"/>
      <c r="F864" s="25"/>
    </row>
    <row r="865">
      <c r="D865" s="25"/>
      <c r="E865" s="25"/>
      <c r="F865" s="25"/>
    </row>
    <row r="866">
      <c r="D866" s="25"/>
      <c r="E866" s="25"/>
      <c r="F866" s="25"/>
    </row>
    <row r="867">
      <c r="C867" s="24"/>
      <c r="D867" s="25"/>
      <c r="E867" s="25"/>
      <c r="F867" s="25"/>
    </row>
    <row r="868">
      <c r="C868" s="24"/>
      <c r="D868" s="25"/>
      <c r="E868" s="25"/>
      <c r="F868" s="25"/>
    </row>
    <row r="869">
      <c r="C869" s="24"/>
      <c r="D869" s="25"/>
      <c r="E869" s="25"/>
      <c r="F869" s="25"/>
    </row>
    <row r="870">
      <c r="C870" s="24"/>
      <c r="D870" s="25"/>
      <c r="E870" s="25"/>
      <c r="F870" s="25"/>
    </row>
    <row r="871">
      <c r="C871" s="24"/>
      <c r="D871" s="25"/>
      <c r="E871" s="25"/>
      <c r="F871" s="25"/>
    </row>
    <row r="872">
      <c r="C872" s="24"/>
      <c r="D872" s="25"/>
      <c r="E872" s="25"/>
      <c r="F872" s="25"/>
    </row>
    <row r="873">
      <c r="C873" s="24"/>
      <c r="D873" s="25"/>
      <c r="E873" s="25"/>
      <c r="F873" s="25"/>
    </row>
    <row r="874">
      <c r="C874" s="24"/>
      <c r="D874" s="25"/>
      <c r="E874" s="25"/>
      <c r="F874" s="25"/>
    </row>
    <row r="875">
      <c r="C875" s="24"/>
      <c r="D875" s="25"/>
      <c r="E875" s="25"/>
      <c r="F875" s="25"/>
    </row>
    <row r="876">
      <c r="C876" s="24"/>
      <c r="D876" s="25"/>
      <c r="E876" s="25"/>
      <c r="F876" s="25"/>
    </row>
    <row r="877">
      <c r="C877" s="24"/>
      <c r="D877" s="25"/>
      <c r="E877" s="25"/>
      <c r="F877" s="25"/>
    </row>
    <row r="878">
      <c r="B878" s="24"/>
      <c r="C878" s="24"/>
      <c r="D878" s="25"/>
      <c r="E878" s="25"/>
      <c r="F878" s="25"/>
    </row>
    <row r="879">
      <c r="D879" s="25"/>
      <c r="E879" s="25"/>
      <c r="F879" s="25"/>
    </row>
    <row r="880">
      <c r="D880" s="25"/>
      <c r="E880" s="25"/>
      <c r="F880" s="25"/>
    </row>
    <row r="881">
      <c r="D881" s="25"/>
      <c r="E881" s="25"/>
      <c r="F881" s="25"/>
    </row>
    <row r="882">
      <c r="D882" s="25"/>
      <c r="E882" s="25"/>
      <c r="F882" s="25"/>
    </row>
    <row r="883">
      <c r="A883" s="24"/>
      <c r="B883" s="24"/>
      <c r="C883" s="24"/>
      <c r="D883" s="25"/>
      <c r="E883" s="25"/>
      <c r="F883" s="25"/>
    </row>
    <row r="884">
      <c r="C884" s="24"/>
      <c r="D884" s="25"/>
      <c r="E884" s="25"/>
      <c r="F884" s="25"/>
    </row>
    <row r="885">
      <c r="C885" s="24"/>
      <c r="D885" s="25"/>
      <c r="E885" s="25"/>
      <c r="F885" s="25"/>
    </row>
    <row r="886">
      <c r="B886" s="24"/>
      <c r="C886" s="24"/>
      <c r="D886" s="25"/>
      <c r="E886" s="25"/>
      <c r="F886" s="25"/>
    </row>
    <row r="887">
      <c r="C887" s="24"/>
      <c r="D887" s="25"/>
      <c r="E887" s="25"/>
      <c r="F887" s="25"/>
    </row>
    <row r="888">
      <c r="C888" s="24"/>
      <c r="D888" s="25"/>
      <c r="E888" s="25"/>
      <c r="F888" s="25"/>
    </row>
    <row r="889">
      <c r="A889" s="24"/>
      <c r="B889" s="24"/>
      <c r="C889" s="24"/>
      <c r="D889" s="25"/>
      <c r="E889" s="25"/>
      <c r="F889" s="25"/>
    </row>
    <row r="890">
      <c r="B890" s="24"/>
      <c r="C890" s="24"/>
      <c r="D890" s="25"/>
      <c r="E890" s="25"/>
      <c r="F890" s="25"/>
    </row>
    <row r="891">
      <c r="A891" s="24"/>
      <c r="B891" s="24"/>
      <c r="C891" s="24"/>
      <c r="D891" s="25"/>
      <c r="E891" s="25"/>
      <c r="F891" s="25"/>
    </row>
    <row r="892">
      <c r="A892" s="24"/>
      <c r="B892" s="24"/>
      <c r="C892" s="24"/>
      <c r="D892" s="25"/>
      <c r="E892" s="25"/>
      <c r="F892" s="25"/>
    </row>
    <row r="893">
      <c r="A893" s="24"/>
      <c r="B893" s="24"/>
      <c r="C893" s="24"/>
      <c r="D893" s="25"/>
      <c r="E893" s="25"/>
      <c r="F893" s="25"/>
    </row>
    <row r="894">
      <c r="A894" s="24"/>
      <c r="B894" s="24"/>
      <c r="C894" s="24"/>
      <c r="D894" s="25"/>
      <c r="E894" s="25"/>
      <c r="F894" s="25"/>
    </row>
    <row r="895">
      <c r="A895" s="24"/>
      <c r="B895" s="24"/>
      <c r="C895" s="24"/>
      <c r="D895" s="25"/>
      <c r="E895" s="25"/>
      <c r="F895" s="25"/>
    </row>
    <row r="896">
      <c r="A896" s="24"/>
      <c r="B896" s="24"/>
      <c r="C896" s="24"/>
      <c r="D896" s="25"/>
      <c r="E896" s="25"/>
      <c r="F896" s="25"/>
    </row>
    <row r="897">
      <c r="A897" s="24"/>
      <c r="B897" s="24"/>
      <c r="C897" s="24"/>
      <c r="D897" s="25"/>
      <c r="E897" s="25"/>
      <c r="F897" s="25"/>
    </row>
    <row r="898">
      <c r="A898" s="24"/>
      <c r="B898" s="24"/>
      <c r="C898" s="24"/>
      <c r="D898" s="25"/>
      <c r="E898" s="25"/>
      <c r="F898" s="25"/>
    </row>
    <row r="899">
      <c r="A899" s="24"/>
      <c r="B899" s="24"/>
      <c r="C899" s="24"/>
      <c r="D899" s="25"/>
      <c r="E899" s="25"/>
      <c r="F899" s="25"/>
    </row>
    <row r="900">
      <c r="A900" s="24"/>
      <c r="B900" s="24"/>
      <c r="C900" s="24"/>
      <c r="D900" s="25"/>
      <c r="E900" s="25"/>
      <c r="F900" s="25"/>
    </row>
    <row r="901">
      <c r="A901" s="24"/>
      <c r="B901" s="24"/>
      <c r="C901" s="24"/>
      <c r="D901" s="25"/>
      <c r="E901" s="25"/>
      <c r="F901" s="25"/>
    </row>
    <row r="902">
      <c r="A902" s="24"/>
      <c r="B902" s="24"/>
      <c r="C902" s="24"/>
      <c r="D902" s="25"/>
      <c r="E902" s="25"/>
      <c r="F902" s="25"/>
    </row>
    <row r="903">
      <c r="A903" s="24"/>
      <c r="B903" s="24"/>
      <c r="C903" s="24"/>
      <c r="D903" s="25"/>
      <c r="E903" s="25"/>
      <c r="F903" s="25"/>
    </row>
    <row r="904">
      <c r="A904" s="24"/>
      <c r="B904" s="24"/>
      <c r="C904" s="24"/>
      <c r="D904" s="25"/>
      <c r="E904" s="25"/>
      <c r="F904" s="25"/>
    </row>
    <row r="905">
      <c r="A905" s="24"/>
      <c r="B905" s="24"/>
      <c r="C905" s="24"/>
      <c r="D905" s="25"/>
      <c r="E905" s="25"/>
      <c r="F905" s="25"/>
    </row>
    <row r="906">
      <c r="A906" s="24"/>
      <c r="B906" s="24"/>
      <c r="C906" s="24"/>
      <c r="D906" s="25"/>
      <c r="E906" s="25"/>
      <c r="F906" s="25"/>
    </row>
    <row r="907">
      <c r="A907" s="24"/>
      <c r="B907" s="24"/>
      <c r="C907" s="24"/>
      <c r="D907" s="25"/>
      <c r="E907" s="25"/>
      <c r="F907" s="25"/>
    </row>
    <row r="908">
      <c r="A908" s="24"/>
      <c r="B908" s="24"/>
      <c r="C908" s="24"/>
      <c r="D908" s="25"/>
      <c r="E908" s="25"/>
      <c r="F908" s="25"/>
    </row>
    <row r="909">
      <c r="A909" s="24"/>
      <c r="B909" s="24"/>
      <c r="C909" s="24"/>
      <c r="D909" s="25"/>
      <c r="E909" s="25"/>
      <c r="F909" s="25"/>
    </row>
    <row r="910">
      <c r="A910" s="24"/>
      <c r="B910" s="24"/>
      <c r="C910" s="24"/>
      <c r="D910" s="25"/>
      <c r="E910" s="25"/>
      <c r="F910" s="25"/>
    </row>
    <row r="911">
      <c r="A911" s="24"/>
      <c r="B911" s="24"/>
      <c r="C911" s="24"/>
      <c r="D911" s="25"/>
      <c r="E911" s="25"/>
      <c r="F911" s="25"/>
    </row>
    <row r="912">
      <c r="A912" s="24"/>
      <c r="B912" s="24"/>
      <c r="C912" s="24"/>
      <c r="D912" s="25"/>
      <c r="E912" s="25"/>
      <c r="F912" s="25"/>
    </row>
    <row r="913">
      <c r="A913" s="24"/>
      <c r="B913" s="24"/>
      <c r="C913" s="24"/>
      <c r="D913" s="25"/>
      <c r="E913" s="25"/>
      <c r="F913" s="25"/>
    </row>
    <row r="914">
      <c r="A914" s="24"/>
      <c r="B914" s="24"/>
      <c r="C914" s="24"/>
      <c r="D914" s="25"/>
      <c r="E914" s="25"/>
      <c r="F914" s="25"/>
    </row>
    <row r="915">
      <c r="A915" s="24"/>
      <c r="B915" s="24"/>
      <c r="C915" s="24"/>
      <c r="D915" s="25"/>
      <c r="E915" s="25"/>
      <c r="F915" s="25"/>
    </row>
    <row r="916">
      <c r="A916" s="24"/>
      <c r="B916" s="24"/>
      <c r="C916" s="24"/>
      <c r="D916" s="25"/>
      <c r="E916" s="25"/>
      <c r="F916" s="25"/>
    </row>
    <row r="917">
      <c r="A917" s="24"/>
      <c r="B917" s="24"/>
      <c r="C917" s="24"/>
      <c r="D917" s="25"/>
      <c r="E917" s="25"/>
      <c r="F917" s="25"/>
    </row>
    <row r="918">
      <c r="A918" s="24"/>
      <c r="B918" s="24"/>
      <c r="C918" s="24"/>
      <c r="D918" s="25"/>
      <c r="E918" s="25"/>
      <c r="F918" s="25"/>
    </row>
    <row r="919">
      <c r="A919" s="24"/>
      <c r="B919" s="24"/>
      <c r="C919" s="24"/>
      <c r="D919" s="25"/>
      <c r="E919" s="25"/>
      <c r="F919" s="25"/>
    </row>
    <row r="920">
      <c r="A920" s="24"/>
      <c r="B920" s="24"/>
      <c r="C920" s="24"/>
      <c r="D920" s="25"/>
      <c r="E920" s="25"/>
      <c r="F920" s="25"/>
    </row>
    <row r="921">
      <c r="A921" s="24"/>
      <c r="B921" s="24"/>
      <c r="C921" s="24"/>
      <c r="D921" s="25"/>
      <c r="E921" s="25"/>
      <c r="F921" s="25"/>
    </row>
    <row r="922">
      <c r="A922" s="24"/>
      <c r="B922" s="24"/>
      <c r="C922" s="24"/>
      <c r="D922" s="25"/>
      <c r="E922" s="25"/>
      <c r="F922" s="25"/>
    </row>
    <row r="923">
      <c r="A923" s="24"/>
      <c r="B923" s="24"/>
      <c r="C923" s="24"/>
      <c r="D923" s="25"/>
      <c r="E923" s="25"/>
      <c r="F923" s="25"/>
    </row>
    <row r="924">
      <c r="A924" s="24"/>
      <c r="B924" s="24"/>
      <c r="C924" s="24"/>
      <c r="D924" s="25"/>
      <c r="E924" s="25"/>
      <c r="F924" s="25"/>
    </row>
    <row r="925">
      <c r="A925" s="24"/>
      <c r="B925" s="24"/>
      <c r="C925" s="24"/>
      <c r="D925" s="25"/>
      <c r="E925" s="25"/>
      <c r="F925" s="25"/>
    </row>
    <row r="926">
      <c r="A926" s="24"/>
      <c r="B926" s="24"/>
      <c r="C926" s="24"/>
      <c r="D926" s="25"/>
      <c r="E926" s="25"/>
      <c r="F926" s="25"/>
    </row>
    <row r="927">
      <c r="A927" s="24"/>
      <c r="B927" s="24"/>
      <c r="C927" s="24"/>
      <c r="D927" s="25"/>
      <c r="E927" s="25"/>
      <c r="F927" s="25"/>
    </row>
    <row r="928">
      <c r="A928" s="24"/>
      <c r="B928" s="24"/>
      <c r="C928" s="24"/>
      <c r="D928" s="25"/>
      <c r="E928" s="25"/>
      <c r="F928" s="25"/>
    </row>
    <row r="929">
      <c r="A929" s="24"/>
      <c r="B929" s="24"/>
      <c r="C929" s="24"/>
      <c r="D929" s="25"/>
      <c r="E929" s="25"/>
      <c r="F929" s="25"/>
    </row>
    <row r="930">
      <c r="A930" s="24"/>
      <c r="B930" s="24"/>
      <c r="C930" s="24"/>
      <c r="D930" s="25"/>
      <c r="E930" s="25"/>
      <c r="F930" s="25"/>
    </row>
    <row r="931">
      <c r="A931" s="24"/>
      <c r="B931" s="24"/>
      <c r="C931" s="24"/>
      <c r="D931" s="25"/>
      <c r="E931" s="25"/>
      <c r="F931" s="25"/>
    </row>
    <row r="932">
      <c r="A932" s="24"/>
      <c r="B932" s="24"/>
      <c r="C932" s="24"/>
      <c r="D932" s="25"/>
      <c r="E932" s="25"/>
      <c r="F932" s="25"/>
    </row>
    <row r="933">
      <c r="A933" s="24"/>
      <c r="B933" s="24"/>
      <c r="C933" s="24"/>
      <c r="D933" s="25"/>
      <c r="E933" s="25"/>
      <c r="F933" s="25"/>
    </row>
    <row r="934">
      <c r="A934" s="24"/>
      <c r="B934" s="24"/>
      <c r="C934" s="24"/>
      <c r="D934" s="25"/>
      <c r="E934" s="25"/>
      <c r="F934" s="25"/>
    </row>
    <row r="935">
      <c r="A935" s="24"/>
      <c r="B935" s="24"/>
      <c r="C935" s="24"/>
      <c r="D935" s="25"/>
      <c r="E935" s="25"/>
      <c r="F935" s="25"/>
    </row>
    <row r="936">
      <c r="A936" s="24"/>
      <c r="B936" s="24"/>
      <c r="C936" s="24"/>
      <c r="D936" s="25"/>
      <c r="E936" s="25"/>
      <c r="F936" s="25"/>
    </row>
    <row r="937">
      <c r="A937" s="24"/>
      <c r="B937" s="24"/>
      <c r="C937" s="24"/>
      <c r="D937" s="25"/>
      <c r="E937" s="25"/>
      <c r="F937" s="25"/>
    </row>
    <row r="938">
      <c r="A938" s="24"/>
      <c r="B938" s="24"/>
      <c r="C938" s="24"/>
      <c r="D938" s="25"/>
      <c r="E938" s="25"/>
      <c r="F938" s="25"/>
    </row>
    <row r="939">
      <c r="A939" s="24"/>
      <c r="B939" s="24"/>
      <c r="C939" s="24"/>
      <c r="D939" s="25"/>
      <c r="E939" s="25"/>
      <c r="F939" s="25"/>
    </row>
    <row r="940">
      <c r="A940" s="24"/>
      <c r="B940" s="24"/>
      <c r="C940" s="24"/>
      <c r="D940" s="25"/>
      <c r="E940" s="25"/>
      <c r="F940" s="25"/>
    </row>
    <row r="941">
      <c r="A941" s="24"/>
      <c r="B941" s="24"/>
      <c r="C941" s="24"/>
      <c r="D941" s="25"/>
      <c r="E941" s="25"/>
      <c r="F941" s="25"/>
    </row>
    <row r="942">
      <c r="A942" s="24"/>
      <c r="B942" s="24"/>
      <c r="C942" s="24"/>
      <c r="D942" s="25"/>
      <c r="E942" s="25"/>
      <c r="F942" s="25"/>
    </row>
    <row r="943">
      <c r="A943" s="24"/>
      <c r="B943" s="24"/>
      <c r="C943" s="24"/>
      <c r="D943" s="25"/>
      <c r="E943" s="25"/>
      <c r="F943" s="25"/>
    </row>
    <row r="944">
      <c r="A944" s="24"/>
      <c r="B944" s="24"/>
      <c r="C944" s="24"/>
      <c r="D944" s="25"/>
      <c r="E944" s="25"/>
      <c r="F944" s="25"/>
    </row>
    <row r="945">
      <c r="A945" s="24"/>
      <c r="B945" s="24"/>
      <c r="C945" s="24"/>
      <c r="D945" s="25"/>
      <c r="E945" s="25"/>
      <c r="F945" s="25"/>
    </row>
    <row r="946">
      <c r="A946" s="24"/>
      <c r="B946" s="24"/>
      <c r="C946" s="24"/>
      <c r="D946" s="25"/>
      <c r="E946" s="25"/>
      <c r="F946" s="25"/>
    </row>
    <row r="947">
      <c r="D947" s="25"/>
      <c r="E947" s="25"/>
      <c r="F947" s="25"/>
    </row>
    <row r="948">
      <c r="D948" s="25"/>
      <c r="E948" s="25"/>
      <c r="F948" s="25"/>
    </row>
    <row r="949">
      <c r="D949" s="25"/>
      <c r="E949" s="25"/>
      <c r="F949" s="25"/>
    </row>
    <row r="950">
      <c r="D950" s="25"/>
      <c r="E950" s="25"/>
      <c r="F950" s="25"/>
    </row>
    <row r="951">
      <c r="D951" s="25"/>
      <c r="E951" s="25"/>
      <c r="F951" s="25"/>
    </row>
    <row r="952">
      <c r="D952" s="25"/>
      <c r="E952" s="25"/>
      <c r="F952" s="25"/>
    </row>
    <row r="953">
      <c r="D953" s="25"/>
      <c r="E953" s="25"/>
      <c r="F953" s="25"/>
    </row>
    <row r="954">
      <c r="D954" s="25"/>
      <c r="E954" s="25"/>
      <c r="F954" s="25"/>
    </row>
    <row r="955">
      <c r="D955" s="25"/>
      <c r="E955" s="25"/>
      <c r="F955" s="25"/>
    </row>
    <row r="956">
      <c r="D956" s="25"/>
      <c r="E956" s="25"/>
      <c r="F956" s="25"/>
    </row>
    <row r="957">
      <c r="D957" s="25"/>
      <c r="E957" s="25"/>
      <c r="F957" s="25"/>
    </row>
    <row r="958">
      <c r="D958" s="25"/>
      <c r="E958" s="25"/>
      <c r="F958" s="25"/>
    </row>
    <row r="959">
      <c r="D959" s="25"/>
      <c r="E959" s="25"/>
      <c r="F959" s="25"/>
    </row>
    <row r="960">
      <c r="D960" s="25"/>
      <c r="E960" s="25"/>
      <c r="F960" s="25"/>
    </row>
    <row r="961">
      <c r="D961" s="25"/>
      <c r="E961" s="25"/>
      <c r="F961" s="25"/>
    </row>
    <row r="962">
      <c r="D962" s="25"/>
      <c r="E962" s="25"/>
      <c r="F962" s="25"/>
    </row>
    <row r="963">
      <c r="D963" s="25"/>
      <c r="E963" s="25"/>
      <c r="F963" s="25"/>
    </row>
    <row r="964">
      <c r="D964" s="25"/>
      <c r="E964" s="25"/>
      <c r="F964" s="25"/>
    </row>
    <row r="965">
      <c r="D965" s="25"/>
      <c r="E965" s="25"/>
      <c r="F965" s="25"/>
    </row>
    <row r="966">
      <c r="D966" s="25"/>
      <c r="E966" s="25"/>
      <c r="F966" s="25"/>
    </row>
    <row r="967">
      <c r="D967" s="25"/>
      <c r="E967" s="25"/>
      <c r="F967" s="25"/>
    </row>
    <row r="968">
      <c r="D968" s="25"/>
      <c r="E968" s="25"/>
      <c r="F968" s="25"/>
    </row>
    <row r="969">
      <c r="D969" s="25"/>
      <c r="E969" s="25"/>
      <c r="F969" s="25"/>
    </row>
    <row r="970">
      <c r="D970" s="25"/>
      <c r="E970" s="25"/>
      <c r="F970" s="25"/>
    </row>
    <row r="971">
      <c r="D971" s="25"/>
      <c r="E971" s="25"/>
      <c r="F971" s="25"/>
    </row>
    <row r="972">
      <c r="D972" s="25"/>
      <c r="E972" s="25"/>
      <c r="F972" s="25"/>
    </row>
    <row r="973">
      <c r="D973" s="25"/>
      <c r="E973" s="25"/>
      <c r="F973" s="25"/>
    </row>
    <row r="974">
      <c r="D974" s="25"/>
      <c r="E974" s="25"/>
      <c r="F974" s="25"/>
    </row>
    <row r="975">
      <c r="D975" s="25"/>
      <c r="E975" s="25"/>
      <c r="F975" s="25"/>
    </row>
    <row r="976">
      <c r="D976" s="25"/>
      <c r="E976" s="25"/>
      <c r="F976" s="25"/>
    </row>
    <row r="977">
      <c r="D977" s="25"/>
      <c r="E977" s="25"/>
      <c r="F977" s="25"/>
    </row>
    <row r="978">
      <c r="D978" s="25"/>
      <c r="E978" s="25"/>
      <c r="F978" s="25"/>
    </row>
    <row r="979">
      <c r="D979" s="25"/>
      <c r="E979" s="25"/>
      <c r="F979" s="25"/>
    </row>
    <row r="980">
      <c r="D980" s="25"/>
      <c r="E980" s="25"/>
      <c r="F980" s="25"/>
    </row>
    <row r="981">
      <c r="D981" s="25"/>
      <c r="E981" s="25"/>
      <c r="F981" s="25"/>
    </row>
    <row r="982">
      <c r="D982" s="25"/>
      <c r="E982" s="25"/>
      <c r="F982" s="25"/>
    </row>
    <row r="983">
      <c r="D983" s="25"/>
      <c r="E983" s="25"/>
      <c r="F983" s="25"/>
    </row>
    <row r="984">
      <c r="D984" s="25"/>
      <c r="E984" s="25"/>
      <c r="F984" s="25"/>
    </row>
    <row r="985">
      <c r="D985" s="25"/>
      <c r="E985" s="25"/>
      <c r="F985" s="25"/>
    </row>
    <row r="986">
      <c r="D986" s="25"/>
      <c r="E986" s="25"/>
      <c r="F986" s="25"/>
    </row>
    <row r="987">
      <c r="D987" s="25"/>
      <c r="E987" s="25"/>
      <c r="F987" s="25"/>
    </row>
    <row r="988">
      <c r="D988" s="25"/>
      <c r="E988" s="25"/>
      <c r="F988" s="25"/>
    </row>
    <row r="989">
      <c r="D989" s="25"/>
      <c r="E989" s="25"/>
      <c r="F989" s="25"/>
    </row>
    <row r="990">
      <c r="D990" s="25"/>
      <c r="E990" s="25"/>
      <c r="F990" s="25"/>
    </row>
    <row r="991">
      <c r="D991" s="25"/>
      <c r="E991" s="25"/>
      <c r="F991" s="25"/>
    </row>
    <row r="992">
      <c r="D992" s="25"/>
      <c r="E992" s="25"/>
      <c r="F992" s="25"/>
    </row>
    <row r="993">
      <c r="D993" s="25"/>
      <c r="E993" s="25"/>
      <c r="F993" s="25"/>
    </row>
    <row r="994">
      <c r="D994" s="25"/>
      <c r="E994" s="25"/>
      <c r="F994" s="25"/>
    </row>
    <row r="995">
      <c r="D995" s="25"/>
      <c r="E995" s="25"/>
      <c r="F995" s="25"/>
    </row>
    <row r="996">
      <c r="D996" s="25"/>
      <c r="E996" s="25"/>
      <c r="F996" s="25"/>
    </row>
    <row r="997">
      <c r="D997" s="25"/>
      <c r="E997" s="25"/>
      <c r="F997" s="25"/>
    </row>
    <row r="998">
      <c r="D998" s="25"/>
      <c r="E998" s="25"/>
      <c r="F998" s="25"/>
    </row>
    <row r="999">
      <c r="D999" s="25"/>
      <c r="E999" s="25"/>
      <c r="F999" s="25"/>
    </row>
  </sheetData>
  <mergeCells count="257">
    <mergeCell ref="B706:B709"/>
    <mergeCell ref="B710:B711"/>
    <mergeCell ref="B712:B715"/>
    <mergeCell ref="B717:B730"/>
    <mergeCell ref="B731:B752"/>
    <mergeCell ref="C731:C741"/>
    <mergeCell ref="C753:C757"/>
    <mergeCell ref="B753:B757"/>
    <mergeCell ref="B758:B760"/>
    <mergeCell ref="B761:B763"/>
    <mergeCell ref="A767:C767"/>
    <mergeCell ref="B769:B772"/>
    <mergeCell ref="B773:B774"/>
    <mergeCell ref="B775:B778"/>
    <mergeCell ref="B383:B385"/>
    <mergeCell ref="B391:B394"/>
    <mergeCell ref="B395:B396"/>
    <mergeCell ref="B397:B400"/>
    <mergeCell ref="B402:B415"/>
    <mergeCell ref="B416:B437"/>
    <mergeCell ref="C416:C426"/>
    <mergeCell ref="B438:B442"/>
    <mergeCell ref="C438:C442"/>
    <mergeCell ref="B443:B445"/>
    <mergeCell ref="B446:B448"/>
    <mergeCell ref="A452:C452"/>
    <mergeCell ref="B454:B457"/>
    <mergeCell ref="B458:B459"/>
    <mergeCell ref="B460:B463"/>
    <mergeCell ref="B465:B478"/>
    <mergeCell ref="B479:B500"/>
    <mergeCell ref="C479:C489"/>
    <mergeCell ref="B501:B505"/>
    <mergeCell ref="C501:C505"/>
    <mergeCell ref="B506:B508"/>
    <mergeCell ref="B509:B511"/>
    <mergeCell ref="A515:C515"/>
    <mergeCell ref="B517:B520"/>
    <mergeCell ref="B521:B522"/>
    <mergeCell ref="B523:B526"/>
    <mergeCell ref="B528:B541"/>
    <mergeCell ref="C542:C552"/>
    <mergeCell ref="B542:B563"/>
    <mergeCell ref="B564:B568"/>
    <mergeCell ref="C564:C568"/>
    <mergeCell ref="B569:B571"/>
    <mergeCell ref="B572:B574"/>
    <mergeCell ref="A578:C578"/>
    <mergeCell ref="B580:B583"/>
    <mergeCell ref="B584:B585"/>
    <mergeCell ref="B586:B589"/>
    <mergeCell ref="B591:B604"/>
    <mergeCell ref="B605:B626"/>
    <mergeCell ref="C605:C615"/>
    <mergeCell ref="B627:B631"/>
    <mergeCell ref="C627:C631"/>
    <mergeCell ref="B780:B793"/>
    <mergeCell ref="B794:B814"/>
    <mergeCell ref="C794:C804"/>
    <mergeCell ref="B815:B819"/>
    <mergeCell ref="C815:C819"/>
    <mergeCell ref="B820:B822"/>
    <mergeCell ref="A829:C829"/>
    <mergeCell ref="A2:A7"/>
    <mergeCell ref="B2:B5"/>
    <mergeCell ref="F2:F5"/>
    <mergeCell ref="B6:B7"/>
    <mergeCell ref="A8:A11"/>
    <mergeCell ref="B8:B11"/>
    <mergeCell ref="F8:F9"/>
    <mergeCell ref="C29:C33"/>
    <mergeCell ref="D29:D33"/>
    <mergeCell ref="E29:E33"/>
    <mergeCell ref="F29:F33"/>
    <mergeCell ref="F36:F38"/>
    <mergeCell ref="F39:F40"/>
    <mergeCell ref="A12:A16"/>
    <mergeCell ref="B13:B16"/>
    <mergeCell ref="A17:A33"/>
    <mergeCell ref="C17:C27"/>
    <mergeCell ref="D17:D27"/>
    <mergeCell ref="E17:E27"/>
    <mergeCell ref="F17:F27"/>
    <mergeCell ref="B17:B28"/>
    <mergeCell ref="B29:B33"/>
    <mergeCell ref="A34:A38"/>
    <mergeCell ref="B34:B35"/>
    <mergeCell ref="B36:B38"/>
    <mergeCell ref="A39:A40"/>
    <mergeCell ref="B48:B49"/>
    <mergeCell ref="A48:A49"/>
    <mergeCell ref="A51:A58"/>
    <mergeCell ref="B52:B58"/>
    <mergeCell ref="B59:B69"/>
    <mergeCell ref="C59:C63"/>
    <mergeCell ref="B70:B71"/>
    <mergeCell ref="C70:C71"/>
    <mergeCell ref="B128:B130"/>
    <mergeCell ref="B131:B133"/>
    <mergeCell ref="A137:C137"/>
    <mergeCell ref="B139:B142"/>
    <mergeCell ref="B143:B144"/>
    <mergeCell ref="B145:B148"/>
    <mergeCell ref="B72:B73"/>
    <mergeCell ref="B78:B79"/>
    <mergeCell ref="B80:B81"/>
    <mergeCell ref="B82:B85"/>
    <mergeCell ref="B87:B100"/>
    <mergeCell ref="B101:B122"/>
    <mergeCell ref="C101:C111"/>
    <mergeCell ref="B123:B127"/>
    <mergeCell ref="C123:C127"/>
    <mergeCell ref="B150:B163"/>
    <mergeCell ref="B164:B185"/>
    <mergeCell ref="C164:C174"/>
    <mergeCell ref="B186:B190"/>
    <mergeCell ref="C186:C190"/>
    <mergeCell ref="B191:B193"/>
    <mergeCell ref="B194:B196"/>
    <mergeCell ref="A200:C200"/>
    <mergeCell ref="B202:B205"/>
    <mergeCell ref="B206:B207"/>
    <mergeCell ref="B208:B211"/>
    <mergeCell ref="B213:B226"/>
    <mergeCell ref="B227:B248"/>
    <mergeCell ref="C227:C237"/>
    <mergeCell ref="B249:B253"/>
    <mergeCell ref="C249:C253"/>
    <mergeCell ref="B254:B256"/>
    <mergeCell ref="B257:B259"/>
    <mergeCell ref="A263:C263"/>
    <mergeCell ref="B265:B268"/>
    <mergeCell ref="B269:B270"/>
    <mergeCell ref="B271:B274"/>
    <mergeCell ref="B276:B289"/>
    <mergeCell ref="B290:B311"/>
    <mergeCell ref="C290:C300"/>
    <mergeCell ref="C312:C316"/>
    <mergeCell ref="B312:B316"/>
    <mergeCell ref="B317:B319"/>
    <mergeCell ref="B320:B322"/>
    <mergeCell ref="A326:C326"/>
    <mergeCell ref="B328:B331"/>
    <mergeCell ref="B332:B333"/>
    <mergeCell ref="B334:B337"/>
    <mergeCell ref="B339:B352"/>
    <mergeCell ref="B353:B374"/>
    <mergeCell ref="C353:C363"/>
    <mergeCell ref="B375:B379"/>
    <mergeCell ref="C375:C379"/>
    <mergeCell ref="B380:B382"/>
    <mergeCell ref="A389:C389"/>
    <mergeCell ref="A506:A511"/>
    <mergeCell ref="A512:A513"/>
    <mergeCell ref="A517:A522"/>
    <mergeCell ref="A523:A526"/>
    <mergeCell ref="A527:A541"/>
    <mergeCell ref="A542:A568"/>
    <mergeCell ref="A569:A574"/>
    <mergeCell ref="A575:A576"/>
    <mergeCell ref="A580:A585"/>
    <mergeCell ref="A586:A589"/>
    <mergeCell ref="A590:A604"/>
    <mergeCell ref="A605:A631"/>
    <mergeCell ref="A632:A637"/>
    <mergeCell ref="A638:A639"/>
    <mergeCell ref="B632:B634"/>
    <mergeCell ref="B635:B637"/>
    <mergeCell ref="A641:C641"/>
    <mergeCell ref="B643:B646"/>
    <mergeCell ref="B647:B648"/>
    <mergeCell ref="B649:B652"/>
    <mergeCell ref="B654:B667"/>
    <mergeCell ref="B668:B689"/>
    <mergeCell ref="C668:C678"/>
    <mergeCell ref="B690:B694"/>
    <mergeCell ref="C690:C694"/>
    <mergeCell ref="B695:B697"/>
    <mergeCell ref="B698:B700"/>
    <mergeCell ref="A704:C704"/>
    <mergeCell ref="A712:A715"/>
    <mergeCell ref="A716:A730"/>
    <mergeCell ref="A731:A757"/>
    <mergeCell ref="A758:A763"/>
    <mergeCell ref="A764:A765"/>
    <mergeCell ref="A769:A774"/>
    <mergeCell ref="A775:A778"/>
    <mergeCell ref="A856:A882"/>
    <mergeCell ref="A883:A888"/>
    <mergeCell ref="A889:A890"/>
    <mergeCell ref="A779:A793"/>
    <mergeCell ref="A794:A819"/>
    <mergeCell ref="A820:A825"/>
    <mergeCell ref="A826:A827"/>
    <mergeCell ref="A831:A836"/>
    <mergeCell ref="A837:A840"/>
    <mergeCell ref="A841:A855"/>
    <mergeCell ref="A59:A71"/>
    <mergeCell ref="A72:A74"/>
    <mergeCell ref="A78:A81"/>
    <mergeCell ref="A82:A85"/>
    <mergeCell ref="A86:A100"/>
    <mergeCell ref="A101:A127"/>
    <mergeCell ref="A128:A133"/>
    <mergeCell ref="A134:A135"/>
    <mergeCell ref="A139:A144"/>
    <mergeCell ref="A145:A148"/>
    <mergeCell ref="A149:A163"/>
    <mergeCell ref="A164:A190"/>
    <mergeCell ref="A191:A196"/>
    <mergeCell ref="A197:A198"/>
    <mergeCell ref="A202:A207"/>
    <mergeCell ref="A208:A211"/>
    <mergeCell ref="A212:A226"/>
    <mergeCell ref="A227:A253"/>
    <mergeCell ref="A254:A259"/>
    <mergeCell ref="A260:A261"/>
    <mergeCell ref="A265:A270"/>
    <mergeCell ref="A271:A274"/>
    <mergeCell ref="A275:A289"/>
    <mergeCell ref="A290:A316"/>
    <mergeCell ref="A317:A322"/>
    <mergeCell ref="A323:A324"/>
    <mergeCell ref="A328:A333"/>
    <mergeCell ref="A334:A337"/>
    <mergeCell ref="A338:A352"/>
    <mergeCell ref="A353:A379"/>
    <mergeCell ref="A380:A385"/>
    <mergeCell ref="A386:A387"/>
    <mergeCell ref="A391:A396"/>
    <mergeCell ref="A397:A400"/>
    <mergeCell ref="A401:A415"/>
    <mergeCell ref="A416:A442"/>
    <mergeCell ref="A443:A448"/>
    <mergeCell ref="A449:A450"/>
    <mergeCell ref="A454:A459"/>
    <mergeCell ref="A460:A463"/>
    <mergeCell ref="A464:A478"/>
    <mergeCell ref="A479:A505"/>
    <mergeCell ref="A643:A648"/>
    <mergeCell ref="A649:A652"/>
    <mergeCell ref="A653:A667"/>
    <mergeCell ref="A668:A694"/>
    <mergeCell ref="A695:A700"/>
    <mergeCell ref="A701:A702"/>
    <mergeCell ref="A706:A711"/>
    <mergeCell ref="B878:B882"/>
    <mergeCell ref="C878:C882"/>
    <mergeCell ref="B883:B885"/>
    <mergeCell ref="B886:B888"/>
    <mergeCell ref="B823:B825"/>
    <mergeCell ref="B831:B834"/>
    <mergeCell ref="B835:B836"/>
    <mergeCell ref="B837:B840"/>
    <mergeCell ref="B842:B855"/>
    <mergeCell ref="B856:B877"/>
    <mergeCell ref="C856:C866"/>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3" max="3" width="21.5"/>
    <col customWidth="1" min="5" max="5" width="17.13"/>
    <col customWidth="1" min="8" max="8" width="16.88"/>
    <col customWidth="1" min="11" max="11" width="16.88"/>
    <col customWidth="1" min="14" max="14" width="16.13"/>
    <col customWidth="1" min="17" max="17" width="16.75"/>
    <col customWidth="1" min="20" max="20" width="16.38"/>
    <col customWidth="1" min="23" max="23" width="16.38"/>
    <col customWidth="1" min="26" max="26" width="16.63"/>
    <col customWidth="1" min="29" max="29" width="16.75"/>
    <col customWidth="1" min="32" max="32" width="16.5"/>
    <col customWidth="1" min="35" max="35" width="16.75"/>
    <col customWidth="1" min="38" max="38" width="16.25"/>
    <col customWidth="1" min="41" max="41" width="16.5"/>
    <col customWidth="1" min="44" max="44" width="16.88"/>
    <col customWidth="1" min="47" max="47" width="16.5"/>
    <col customWidth="1" min="50" max="50" width="16.38"/>
    <col customWidth="1" min="53" max="53" width="16.25"/>
    <col customWidth="1" min="56" max="56" width="16.13"/>
    <col customWidth="1" min="59" max="59" width="16.13"/>
    <col customWidth="1" min="62" max="62" width="16.38"/>
    <col customWidth="1" min="65" max="65" width="16.38"/>
    <col customWidth="1" min="68" max="68" width="16.75"/>
    <col customWidth="1" min="71" max="71" width="16.13"/>
    <col customWidth="1" min="74" max="74" width="16.25"/>
    <col customWidth="1" min="77" max="77" width="16.38"/>
    <col customWidth="1" min="80" max="80" width="16.63"/>
    <col customWidth="1" min="83" max="83" width="16.13"/>
    <col customWidth="1" min="86" max="86" width="16.13"/>
    <col customWidth="1" min="89" max="89" width="16.63"/>
    <col customWidth="1" min="92" max="92" width="16.88"/>
    <col customWidth="1" min="95" max="95" width="16.38"/>
    <col customWidth="1" min="98" max="98" width="16.25"/>
  </cols>
  <sheetData>
    <row r="1">
      <c r="A1" s="26" t="s">
        <v>103</v>
      </c>
      <c r="B1" s="27"/>
      <c r="C1" s="28"/>
      <c r="D1" s="29" t="s">
        <v>104</v>
      </c>
      <c r="E1" s="27"/>
      <c r="F1" s="28"/>
      <c r="G1" s="29" t="s">
        <v>105</v>
      </c>
      <c r="H1" s="27"/>
      <c r="I1" s="28"/>
      <c r="J1" s="29" t="s">
        <v>106</v>
      </c>
      <c r="K1" s="27"/>
      <c r="L1" s="28"/>
      <c r="M1" s="29" t="s">
        <v>107</v>
      </c>
      <c r="N1" s="27"/>
      <c r="O1" s="28"/>
      <c r="P1" s="30" t="s">
        <v>108</v>
      </c>
      <c r="Q1" s="27"/>
      <c r="R1" s="27"/>
      <c r="S1" s="29" t="s">
        <v>109</v>
      </c>
      <c r="T1" s="27"/>
      <c r="U1" s="27"/>
      <c r="V1" s="29" t="s">
        <v>110</v>
      </c>
      <c r="W1" s="27"/>
      <c r="X1" s="28"/>
      <c r="Y1" s="29" t="s">
        <v>111</v>
      </c>
      <c r="Z1" s="27"/>
      <c r="AA1" s="28"/>
      <c r="AB1" s="29" t="s">
        <v>112</v>
      </c>
      <c r="AC1" s="27"/>
      <c r="AD1" s="28"/>
      <c r="AE1" s="29" t="s">
        <v>113</v>
      </c>
      <c r="AF1" s="27"/>
      <c r="AG1" s="28"/>
      <c r="AH1" s="29" t="s">
        <v>114</v>
      </c>
      <c r="AI1" s="27"/>
      <c r="AJ1" s="28"/>
      <c r="AK1" s="29" t="s">
        <v>115</v>
      </c>
      <c r="AL1" s="27"/>
      <c r="AM1" s="27"/>
      <c r="AN1" s="29" t="s">
        <v>116</v>
      </c>
      <c r="AO1" s="27"/>
      <c r="AP1" s="27"/>
      <c r="AQ1" s="29" t="s">
        <v>117</v>
      </c>
      <c r="AR1" s="27"/>
      <c r="AS1" s="27"/>
      <c r="AT1" s="29" t="s">
        <v>118</v>
      </c>
      <c r="AU1" s="27"/>
      <c r="AV1" s="28"/>
      <c r="AW1" s="29" t="s">
        <v>119</v>
      </c>
      <c r="AX1" s="27"/>
      <c r="AY1" s="28"/>
      <c r="AZ1" s="29" t="s">
        <v>120</v>
      </c>
      <c r="BA1" s="27"/>
      <c r="BB1" s="27"/>
      <c r="BC1" s="29" t="s">
        <v>121</v>
      </c>
      <c r="BD1" s="27"/>
      <c r="BE1" s="28"/>
      <c r="BF1" s="29" t="s">
        <v>122</v>
      </c>
      <c r="BG1" s="27"/>
      <c r="BH1" s="28"/>
      <c r="BI1" s="31" t="s">
        <v>123</v>
      </c>
      <c r="BJ1" s="27"/>
      <c r="BK1" s="28"/>
      <c r="BL1" s="29" t="s">
        <v>124</v>
      </c>
      <c r="BM1" s="27"/>
      <c r="BN1" s="28"/>
      <c r="BO1" s="29" t="s">
        <v>125</v>
      </c>
      <c r="BP1" s="27"/>
      <c r="BQ1" s="28"/>
      <c r="BR1" s="30" t="s">
        <v>126</v>
      </c>
      <c r="BS1" s="27"/>
      <c r="BT1" s="27"/>
      <c r="BU1" s="29" t="s">
        <v>127</v>
      </c>
      <c r="BV1" s="27"/>
      <c r="BW1" s="28"/>
      <c r="BX1" s="29" t="s">
        <v>128</v>
      </c>
      <c r="BY1" s="27"/>
      <c r="BZ1" s="28"/>
      <c r="CA1" s="29" t="s">
        <v>129</v>
      </c>
      <c r="CB1" s="27"/>
      <c r="CC1" s="28"/>
      <c r="CD1" s="29" t="s">
        <v>130</v>
      </c>
      <c r="CE1" s="27"/>
      <c r="CF1" s="28"/>
      <c r="CG1" s="32" t="s">
        <v>131</v>
      </c>
      <c r="CH1" s="27"/>
      <c r="CI1" s="28"/>
      <c r="CJ1" s="29" t="s">
        <v>132</v>
      </c>
      <c r="CK1" s="27"/>
      <c r="CL1" s="27"/>
      <c r="CM1" s="29" t="s">
        <v>133</v>
      </c>
      <c r="CN1" s="27"/>
      <c r="CO1" s="27"/>
      <c r="CP1" s="29" t="s">
        <v>134</v>
      </c>
      <c r="CQ1" s="27"/>
      <c r="CR1" s="27"/>
      <c r="CS1" s="29" t="s">
        <v>135</v>
      </c>
      <c r="CT1" s="27"/>
      <c r="CU1" s="27"/>
    </row>
    <row r="2">
      <c r="A2" s="33" t="s">
        <v>0</v>
      </c>
      <c r="B2" s="2" t="s">
        <v>1</v>
      </c>
      <c r="C2" s="3" t="s">
        <v>2</v>
      </c>
      <c r="D2" s="34" t="s">
        <v>136</v>
      </c>
      <c r="E2" s="35" t="s">
        <v>137</v>
      </c>
      <c r="F2" s="36" t="s">
        <v>138</v>
      </c>
      <c r="G2" s="34" t="s">
        <v>136</v>
      </c>
      <c r="H2" s="35" t="s">
        <v>137</v>
      </c>
      <c r="I2" s="36" t="s">
        <v>138</v>
      </c>
      <c r="J2" s="34" t="s">
        <v>136</v>
      </c>
      <c r="K2" s="35" t="s">
        <v>137</v>
      </c>
      <c r="L2" s="36" t="s">
        <v>138</v>
      </c>
      <c r="M2" s="34" t="s">
        <v>136</v>
      </c>
      <c r="N2" s="35" t="s">
        <v>137</v>
      </c>
      <c r="O2" s="36" t="s">
        <v>138</v>
      </c>
      <c r="P2" s="34" t="s">
        <v>136</v>
      </c>
      <c r="Q2" s="35" t="s">
        <v>137</v>
      </c>
      <c r="R2" s="36" t="s">
        <v>138</v>
      </c>
      <c r="S2" s="34" t="s">
        <v>136</v>
      </c>
      <c r="T2" s="35" t="s">
        <v>137</v>
      </c>
      <c r="U2" s="36" t="s">
        <v>138</v>
      </c>
      <c r="V2" s="34" t="s">
        <v>136</v>
      </c>
      <c r="W2" s="35" t="s">
        <v>137</v>
      </c>
      <c r="X2" s="36" t="s">
        <v>138</v>
      </c>
      <c r="Y2" s="34" t="s">
        <v>136</v>
      </c>
      <c r="Z2" s="35" t="s">
        <v>137</v>
      </c>
      <c r="AA2" s="36" t="s">
        <v>138</v>
      </c>
      <c r="AB2" s="34" t="s">
        <v>136</v>
      </c>
      <c r="AC2" s="35" t="s">
        <v>137</v>
      </c>
      <c r="AD2" s="36" t="s">
        <v>138</v>
      </c>
      <c r="AE2" s="34" t="s">
        <v>136</v>
      </c>
      <c r="AF2" s="35" t="s">
        <v>137</v>
      </c>
      <c r="AG2" s="36" t="s">
        <v>138</v>
      </c>
      <c r="AH2" s="34" t="s">
        <v>136</v>
      </c>
      <c r="AI2" s="35" t="s">
        <v>137</v>
      </c>
      <c r="AJ2" s="36" t="s">
        <v>138</v>
      </c>
      <c r="AK2" s="34" t="s">
        <v>136</v>
      </c>
      <c r="AL2" s="35" t="s">
        <v>137</v>
      </c>
      <c r="AM2" s="36" t="s">
        <v>138</v>
      </c>
      <c r="AN2" s="34" t="s">
        <v>136</v>
      </c>
      <c r="AO2" s="35" t="s">
        <v>137</v>
      </c>
      <c r="AP2" s="36" t="s">
        <v>138</v>
      </c>
      <c r="AQ2" s="34" t="s">
        <v>136</v>
      </c>
      <c r="AR2" s="35" t="s">
        <v>137</v>
      </c>
      <c r="AS2" s="36" t="s">
        <v>138</v>
      </c>
      <c r="AT2" s="34" t="s">
        <v>136</v>
      </c>
      <c r="AU2" s="35" t="s">
        <v>137</v>
      </c>
      <c r="AV2" s="36" t="s">
        <v>138</v>
      </c>
      <c r="AW2" s="34" t="s">
        <v>136</v>
      </c>
      <c r="AX2" s="35" t="s">
        <v>137</v>
      </c>
      <c r="AY2" s="36" t="s">
        <v>138</v>
      </c>
      <c r="AZ2" s="34" t="s">
        <v>136</v>
      </c>
      <c r="BA2" s="35" t="s">
        <v>137</v>
      </c>
      <c r="BB2" s="36" t="s">
        <v>138</v>
      </c>
      <c r="BC2" s="34" t="s">
        <v>136</v>
      </c>
      <c r="BD2" s="35" t="s">
        <v>137</v>
      </c>
      <c r="BE2" s="36" t="s">
        <v>138</v>
      </c>
      <c r="BF2" s="34" t="s">
        <v>136</v>
      </c>
      <c r="BG2" s="35" t="s">
        <v>137</v>
      </c>
      <c r="BH2" s="36" t="s">
        <v>138</v>
      </c>
      <c r="BI2" s="34" t="s">
        <v>136</v>
      </c>
      <c r="BJ2" s="35" t="s">
        <v>137</v>
      </c>
      <c r="BK2" s="36" t="s">
        <v>138</v>
      </c>
      <c r="BL2" s="34" t="s">
        <v>136</v>
      </c>
      <c r="BM2" s="35" t="s">
        <v>137</v>
      </c>
      <c r="BN2" s="36" t="s">
        <v>138</v>
      </c>
      <c r="BO2" s="34" t="s">
        <v>136</v>
      </c>
      <c r="BP2" s="35" t="s">
        <v>137</v>
      </c>
      <c r="BQ2" s="36" t="s">
        <v>138</v>
      </c>
      <c r="BR2" s="34" t="s">
        <v>136</v>
      </c>
      <c r="BS2" s="35" t="s">
        <v>137</v>
      </c>
      <c r="BT2" s="36" t="s">
        <v>138</v>
      </c>
      <c r="BU2" s="34" t="s">
        <v>136</v>
      </c>
      <c r="BV2" s="35" t="s">
        <v>137</v>
      </c>
      <c r="BW2" s="36" t="s">
        <v>138</v>
      </c>
      <c r="BX2" s="34" t="s">
        <v>136</v>
      </c>
      <c r="BY2" s="35" t="s">
        <v>137</v>
      </c>
      <c r="BZ2" s="36" t="s">
        <v>138</v>
      </c>
      <c r="CA2" s="34" t="s">
        <v>136</v>
      </c>
      <c r="CB2" s="35" t="s">
        <v>137</v>
      </c>
      <c r="CC2" s="36" t="s">
        <v>138</v>
      </c>
      <c r="CD2" s="34" t="s">
        <v>136</v>
      </c>
      <c r="CE2" s="35" t="s">
        <v>137</v>
      </c>
      <c r="CF2" s="36" t="s">
        <v>138</v>
      </c>
      <c r="CG2" s="34" t="s">
        <v>136</v>
      </c>
      <c r="CH2" s="35" t="s">
        <v>137</v>
      </c>
      <c r="CI2" s="36" t="s">
        <v>138</v>
      </c>
      <c r="CJ2" s="34" t="s">
        <v>136</v>
      </c>
      <c r="CK2" s="35" t="s">
        <v>137</v>
      </c>
      <c r="CL2" s="36" t="s">
        <v>138</v>
      </c>
      <c r="CM2" s="34" t="s">
        <v>136</v>
      </c>
      <c r="CN2" s="35" t="s">
        <v>137</v>
      </c>
      <c r="CO2" s="36" t="s">
        <v>138</v>
      </c>
      <c r="CP2" s="34" t="s">
        <v>136</v>
      </c>
      <c r="CQ2" s="35" t="s">
        <v>137</v>
      </c>
      <c r="CR2" s="36" t="s">
        <v>138</v>
      </c>
      <c r="CS2" s="34" t="s">
        <v>136</v>
      </c>
      <c r="CT2" s="35" t="s">
        <v>137</v>
      </c>
      <c r="CU2" s="36" t="s">
        <v>138</v>
      </c>
    </row>
    <row r="3">
      <c r="A3" s="5" t="s">
        <v>6</v>
      </c>
      <c r="B3" s="6" t="s">
        <v>7</v>
      </c>
      <c r="C3" s="7" t="s">
        <v>8</v>
      </c>
      <c r="D3" s="37">
        <v>1.0</v>
      </c>
      <c r="E3" s="38" t="s">
        <v>139</v>
      </c>
      <c r="F3" s="39">
        <v>100.0</v>
      </c>
      <c r="G3" s="40">
        <v>1.0</v>
      </c>
      <c r="H3" s="38" t="s">
        <v>140</v>
      </c>
      <c r="I3" s="39">
        <v>100.0</v>
      </c>
      <c r="J3" s="37">
        <v>1.0</v>
      </c>
      <c r="K3" s="38" t="s">
        <v>141</v>
      </c>
      <c r="L3" s="39">
        <v>100.0</v>
      </c>
      <c r="M3" s="37">
        <v>1.0</v>
      </c>
      <c r="N3" s="38" t="s">
        <v>142</v>
      </c>
      <c r="O3" s="39">
        <v>100.0</v>
      </c>
      <c r="P3" s="37">
        <v>1.0</v>
      </c>
      <c r="Q3" s="38" t="s">
        <v>143</v>
      </c>
      <c r="R3" s="39">
        <v>100.0</v>
      </c>
      <c r="S3" s="38">
        <v>1.0</v>
      </c>
      <c r="T3" s="38" t="s">
        <v>144</v>
      </c>
      <c r="U3" s="39">
        <v>100.0</v>
      </c>
      <c r="V3" s="37">
        <v>1.0</v>
      </c>
      <c r="W3" s="41" t="s">
        <v>145</v>
      </c>
      <c r="X3" s="39">
        <v>100.0</v>
      </c>
      <c r="Y3" s="37">
        <v>1.0</v>
      </c>
      <c r="Z3" s="38" t="s">
        <v>146</v>
      </c>
      <c r="AA3" s="39">
        <v>100.0</v>
      </c>
      <c r="AB3" s="37">
        <v>1.0</v>
      </c>
      <c r="AC3" s="41" t="s">
        <v>147</v>
      </c>
      <c r="AD3" s="39">
        <v>100.0</v>
      </c>
      <c r="AE3" s="37">
        <v>1.0</v>
      </c>
      <c r="AF3" s="38" t="s">
        <v>148</v>
      </c>
      <c r="AG3" s="39">
        <v>100.0</v>
      </c>
      <c r="AH3" s="37">
        <v>1.0</v>
      </c>
      <c r="AI3" s="41" t="s">
        <v>149</v>
      </c>
      <c r="AJ3" s="39">
        <v>100.0</v>
      </c>
      <c r="AK3" s="37">
        <v>1.0</v>
      </c>
      <c r="AL3" s="38" t="s">
        <v>150</v>
      </c>
      <c r="AM3" s="39">
        <v>100.0</v>
      </c>
      <c r="AN3" s="37">
        <v>1.0</v>
      </c>
      <c r="AO3" s="38" t="s">
        <v>151</v>
      </c>
      <c r="AP3" s="39">
        <v>100.0</v>
      </c>
      <c r="AQ3" s="38">
        <v>1.0</v>
      </c>
      <c r="AR3" s="38" t="s">
        <v>152</v>
      </c>
      <c r="AS3" s="39">
        <v>100.0</v>
      </c>
      <c r="AT3" s="37">
        <v>1.0</v>
      </c>
      <c r="AU3" s="41" t="s">
        <v>153</v>
      </c>
      <c r="AV3" s="39">
        <v>100.0</v>
      </c>
      <c r="AW3" s="38">
        <v>1.0</v>
      </c>
      <c r="AX3" s="38" t="s">
        <v>154</v>
      </c>
      <c r="AY3" s="39">
        <v>100.0</v>
      </c>
      <c r="AZ3" s="37">
        <v>1.0</v>
      </c>
      <c r="BA3" s="38" t="s">
        <v>155</v>
      </c>
      <c r="BB3" s="39">
        <v>100.0</v>
      </c>
      <c r="BC3" s="37">
        <v>1.0</v>
      </c>
      <c r="BD3" s="38" t="s">
        <v>156</v>
      </c>
      <c r="BE3" s="39">
        <v>100.0</v>
      </c>
      <c r="BF3" s="37">
        <v>1.0</v>
      </c>
      <c r="BG3" s="38" t="s">
        <v>157</v>
      </c>
      <c r="BH3" s="39">
        <v>100.0</v>
      </c>
      <c r="BI3" s="37">
        <v>1.0</v>
      </c>
      <c r="BJ3" s="38" t="s">
        <v>158</v>
      </c>
      <c r="BK3" s="39">
        <v>100.0</v>
      </c>
      <c r="BL3" s="37">
        <v>1.0</v>
      </c>
      <c r="BM3" s="41" t="s">
        <v>159</v>
      </c>
      <c r="BN3" s="39">
        <v>100.0</v>
      </c>
      <c r="BO3" s="37">
        <v>1.0</v>
      </c>
      <c r="BP3" s="38" t="s">
        <v>160</v>
      </c>
      <c r="BQ3" s="39">
        <v>100.0</v>
      </c>
      <c r="BR3" s="37">
        <v>1.0</v>
      </c>
      <c r="BS3" s="38" t="s">
        <v>161</v>
      </c>
      <c r="BT3" s="39">
        <v>100.0</v>
      </c>
      <c r="BU3" s="37">
        <v>1.0</v>
      </c>
      <c r="BV3" s="38" t="s">
        <v>162</v>
      </c>
      <c r="BW3" s="39">
        <v>100.0</v>
      </c>
      <c r="BX3" s="37">
        <v>1.0</v>
      </c>
      <c r="BY3" s="41" t="s">
        <v>163</v>
      </c>
      <c r="BZ3" s="39">
        <v>100.0</v>
      </c>
      <c r="CA3" s="37">
        <v>1.0</v>
      </c>
      <c r="CB3" s="38" t="s">
        <v>164</v>
      </c>
      <c r="CC3" s="39">
        <v>100.0</v>
      </c>
      <c r="CD3" s="37">
        <v>1.0</v>
      </c>
      <c r="CE3" s="38" t="s">
        <v>165</v>
      </c>
      <c r="CF3" s="39">
        <v>100.0</v>
      </c>
      <c r="CG3" s="37">
        <v>1.0</v>
      </c>
      <c r="CH3" s="41" t="s">
        <v>166</v>
      </c>
      <c r="CI3" s="39">
        <v>100.0</v>
      </c>
      <c r="CJ3" s="38">
        <v>1.0</v>
      </c>
      <c r="CK3" s="38" t="s">
        <v>167</v>
      </c>
      <c r="CL3" s="39">
        <v>100.0</v>
      </c>
      <c r="CM3" s="38">
        <v>1.0</v>
      </c>
      <c r="CN3" s="38" t="s">
        <v>168</v>
      </c>
      <c r="CO3" s="39">
        <v>100.0</v>
      </c>
      <c r="CP3" s="38">
        <v>1.0</v>
      </c>
      <c r="CQ3" s="38" t="s">
        <v>169</v>
      </c>
      <c r="CR3" s="39">
        <v>100.0</v>
      </c>
      <c r="CS3" s="38">
        <v>1.0</v>
      </c>
      <c r="CT3" s="38" t="s">
        <v>170</v>
      </c>
      <c r="CU3" s="39">
        <v>100.0</v>
      </c>
    </row>
    <row r="4">
      <c r="A4" s="11"/>
      <c r="B4" s="11"/>
      <c r="C4" s="7" t="s">
        <v>12</v>
      </c>
      <c r="D4" s="40">
        <v>1.0</v>
      </c>
      <c r="E4" s="38" t="s">
        <v>171</v>
      </c>
      <c r="F4" s="11"/>
      <c r="G4" s="40">
        <v>1.0</v>
      </c>
      <c r="H4" s="38" t="s">
        <v>172</v>
      </c>
      <c r="I4" s="11"/>
      <c r="J4" s="40">
        <v>1.0</v>
      </c>
      <c r="K4" s="38" t="s">
        <v>173</v>
      </c>
      <c r="L4" s="11"/>
      <c r="M4" s="40">
        <v>1.0</v>
      </c>
      <c r="N4" s="38" t="s">
        <v>174</v>
      </c>
      <c r="O4" s="11"/>
      <c r="P4" s="40">
        <v>1.0</v>
      </c>
      <c r="Q4" s="38" t="s">
        <v>175</v>
      </c>
      <c r="R4" s="11"/>
      <c r="S4" s="38">
        <v>1.0</v>
      </c>
      <c r="T4" s="42" t="s">
        <v>176</v>
      </c>
      <c r="U4" s="11"/>
      <c r="V4" s="40">
        <v>1.0</v>
      </c>
      <c r="W4" s="41" t="s">
        <v>177</v>
      </c>
      <c r="X4" s="11"/>
      <c r="Y4" s="40">
        <v>1.0</v>
      </c>
      <c r="Z4" s="38" t="s">
        <v>178</v>
      </c>
      <c r="AA4" s="11"/>
      <c r="AB4" s="40">
        <v>1.0</v>
      </c>
      <c r="AC4" s="41" t="s">
        <v>179</v>
      </c>
      <c r="AD4" s="11"/>
      <c r="AE4" s="40">
        <v>1.0</v>
      </c>
      <c r="AF4" s="38" t="s">
        <v>180</v>
      </c>
      <c r="AG4" s="11"/>
      <c r="AH4" s="40">
        <v>1.0</v>
      </c>
      <c r="AI4" s="41" t="s">
        <v>181</v>
      </c>
      <c r="AJ4" s="11"/>
      <c r="AK4" s="40">
        <v>1.0</v>
      </c>
      <c r="AL4" s="38" t="s">
        <v>182</v>
      </c>
      <c r="AM4" s="11"/>
      <c r="AN4" s="40">
        <v>1.0</v>
      </c>
      <c r="AO4" s="38" t="s">
        <v>183</v>
      </c>
      <c r="AP4" s="11"/>
      <c r="AQ4" s="38">
        <v>1.0</v>
      </c>
      <c r="AR4" s="38" t="s">
        <v>184</v>
      </c>
      <c r="AS4" s="11"/>
      <c r="AT4" s="40">
        <v>1.0</v>
      </c>
      <c r="AU4" s="41" t="s">
        <v>185</v>
      </c>
      <c r="AV4" s="11"/>
      <c r="AW4" s="38">
        <v>1.0</v>
      </c>
      <c r="AX4" s="38" t="s">
        <v>186</v>
      </c>
      <c r="AY4" s="11"/>
      <c r="AZ4" s="40">
        <v>1.0</v>
      </c>
      <c r="BA4" s="38" t="s">
        <v>187</v>
      </c>
      <c r="BB4" s="11"/>
      <c r="BC4" s="40">
        <v>1.0</v>
      </c>
      <c r="BD4" s="38" t="s">
        <v>188</v>
      </c>
      <c r="BE4" s="11"/>
      <c r="BF4" s="40">
        <v>1.0</v>
      </c>
      <c r="BG4" s="38" t="s">
        <v>189</v>
      </c>
      <c r="BH4" s="11"/>
      <c r="BI4" s="40">
        <v>1.0</v>
      </c>
      <c r="BJ4" s="42" t="s">
        <v>190</v>
      </c>
      <c r="BK4" s="11"/>
      <c r="BL4" s="40">
        <v>1.0</v>
      </c>
      <c r="BM4" s="41" t="s">
        <v>191</v>
      </c>
      <c r="BN4" s="11"/>
      <c r="BO4" s="40">
        <v>1.0</v>
      </c>
      <c r="BP4" s="38" t="s">
        <v>192</v>
      </c>
      <c r="BQ4" s="11"/>
      <c r="BR4" s="40">
        <v>1.0</v>
      </c>
      <c r="BS4" s="38" t="s">
        <v>193</v>
      </c>
      <c r="BT4" s="11"/>
      <c r="BU4" s="40">
        <v>1.0</v>
      </c>
      <c r="BV4" s="38" t="s">
        <v>194</v>
      </c>
      <c r="BW4" s="11"/>
      <c r="BX4" s="40">
        <v>1.0</v>
      </c>
      <c r="BY4" s="41" t="s">
        <v>195</v>
      </c>
      <c r="BZ4" s="11"/>
      <c r="CA4" s="40">
        <v>1.0</v>
      </c>
      <c r="CB4" s="38" t="s">
        <v>196</v>
      </c>
      <c r="CC4" s="11"/>
      <c r="CD4" s="40">
        <v>1.0</v>
      </c>
      <c r="CE4" s="38" t="s">
        <v>197</v>
      </c>
      <c r="CF4" s="11"/>
      <c r="CG4" s="40">
        <v>1.0</v>
      </c>
      <c r="CH4" s="41" t="s">
        <v>198</v>
      </c>
      <c r="CI4" s="11"/>
      <c r="CJ4" s="38">
        <v>1.0</v>
      </c>
      <c r="CK4" s="38" t="s">
        <v>199</v>
      </c>
      <c r="CL4" s="11"/>
      <c r="CM4" s="38">
        <v>1.0</v>
      </c>
      <c r="CN4" s="38" t="s">
        <v>200</v>
      </c>
      <c r="CO4" s="11"/>
      <c r="CP4" s="38">
        <v>1.0</v>
      </c>
      <c r="CQ4" s="38" t="s">
        <v>201</v>
      </c>
      <c r="CR4" s="11"/>
      <c r="CS4" s="38">
        <v>1.0</v>
      </c>
      <c r="CT4" s="38" t="s">
        <v>202</v>
      </c>
      <c r="CU4" s="11"/>
    </row>
    <row r="5">
      <c r="A5" s="11"/>
      <c r="B5" s="11"/>
      <c r="C5" s="7" t="s">
        <v>15</v>
      </c>
      <c r="D5" s="40">
        <v>1.0</v>
      </c>
      <c r="E5" s="38" t="s">
        <v>203</v>
      </c>
      <c r="F5" s="11"/>
      <c r="G5" s="40">
        <v>1.0</v>
      </c>
      <c r="H5" s="38" t="s">
        <v>204</v>
      </c>
      <c r="I5" s="11"/>
      <c r="J5" s="40">
        <v>1.0</v>
      </c>
      <c r="K5" s="38" t="s">
        <v>205</v>
      </c>
      <c r="L5" s="11"/>
      <c r="M5" s="40">
        <v>1.0</v>
      </c>
      <c r="N5" s="38" t="s">
        <v>206</v>
      </c>
      <c r="O5" s="11"/>
      <c r="P5" s="40">
        <v>1.0</v>
      </c>
      <c r="Q5" s="38" t="s">
        <v>207</v>
      </c>
      <c r="R5" s="11"/>
      <c r="S5" s="38">
        <v>1.0</v>
      </c>
      <c r="T5" s="38" t="s">
        <v>208</v>
      </c>
      <c r="U5" s="11"/>
      <c r="V5" s="40">
        <v>1.0</v>
      </c>
      <c r="W5" s="41" t="s">
        <v>177</v>
      </c>
      <c r="X5" s="11"/>
      <c r="Y5" s="40">
        <v>1.0</v>
      </c>
      <c r="Z5" s="38" t="s">
        <v>209</v>
      </c>
      <c r="AA5" s="11"/>
      <c r="AB5" s="40">
        <v>1.0</v>
      </c>
      <c r="AC5" s="41" t="s">
        <v>210</v>
      </c>
      <c r="AD5" s="11"/>
      <c r="AE5" s="40">
        <v>1.0</v>
      </c>
      <c r="AF5" s="38" t="s">
        <v>211</v>
      </c>
      <c r="AG5" s="11"/>
      <c r="AH5" s="40">
        <v>1.0</v>
      </c>
      <c r="AI5" s="43"/>
      <c r="AJ5" s="11"/>
      <c r="AK5" s="40">
        <v>1.0</v>
      </c>
      <c r="AL5" s="38" t="s">
        <v>212</v>
      </c>
      <c r="AM5" s="11"/>
      <c r="AN5" s="40">
        <v>1.0</v>
      </c>
      <c r="AO5" s="38" t="s">
        <v>213</v>
      </c>
      <c r="AP5" s="11"/>
      <c r="AQ5" s="38">
        <v>1.0</v>
      </c>
      <c r="AR5" s="38" t="s">
        <v>214</v>
      </c>
      <c r="AS5" s="11"/>
      <c r="AT5" s="40">
        <v>1.0</v>
      </c>
      <c r="AU5" s="41" t="s">
        <v>215</v>
      </c>
      <c r="AV5" s="11"/>
      <c r="AW5" s="38">
        <v>1.0</v>
      </c>
      <c r="AX5" s="38" t="s">
        <v>216</v>
      </c>
      <c r="AY5" s="11"/>
      <c r="AZ5" s="40">
        <v>1.0</v>
      </c>
      <c r="BA5" s="38" t="s">
        <v>217</v>
      </c>
      <c r="BB5" s="11"/>
      <c r="BC5" s="40">
        <v>1.0</v>
      </c>
      <c r="BD5" s="38" t="s">
        <v>218</v>
      </c>
      <c r="BE5" s="11"/>
      <c r="BF5" s="40">
        <v>1.0</v>
      </c>
      <c r="BG5" s="38" t="s">
        <v>219</v>
      </c>
      <c r="BH5" s="11"/>
      <c r="BI5" s="40">
        <v>1.0</v>
      </c>
      <c r="BJ5" s="38" t="s">
        <v>190</v>
      </c>
      <c r="BK5" s="11"/>
      <c r="BL5" s="40">
        <v>1.0</v>
      </c>
      <c r="BM5" s="41" t="s">
        <v>220</v>
      </c>
      <c r="BN5" s="11"/>
      <c r="BO5" s="40">
        <v>1.0</v>
      </c>
      <c r="BP5" s="38" t="s">
        <v>221</v>
      </c>
      <c r="BQ5" s="11"/>
      <c r="BR5" s="40">
        <v>1.0</v>
      </c>
      <c r="BS5" s="38" t="s">
        <v>222</v>
      </c>
      <c r="BT5" s="11"/>
      <c r="BU5" s="40">
        <v>1.0</v>
      </c>
      <c r="BV5" s="38" t="s">
        <v>223</v>
      </c>
      <c r="BW5" s="11"/>
      <c r="BX5" s="40">
        <v>1.0</v>
      </c>
      <c r="BY5" s="41" t="s">
        <v>224</v>
      </c>
      <c r="BZ5" s="11"/>
      <c r="CA5" s="40">
        <v>1.0</v>
      </c>
      <c r="CB5" s="38" t="s">
        <v>225</v>
      </c>
      <c r="CC5" s="11"/>
      <c r="CD5" s="40">
        <v>1.0</v>
      </c>
      <c r="CE5" s="38" t="s">
        <v>226</v>
      </c>
      <c r="CF5" s="11"/>
      <c r="CG5" s="40">
        <v>1.0</v>
      </c>
      <c r="CH5" s="41" t="s">
        <v>227</v>
      </c>
      <c r="CI5" s="11"/>
      <c r="CJ5" s="38">
        <v>1.0</v>
      </c>
      <c r="CK5" s="38" t="s">
        <v>228</v>
      </c>
      <c r="CL5" s="11"/>
      <c r="CM5" s="38">
        <v>1.0</v>
      </c>
      <c r="CN5" s="38" t="s">
        <v>229</v>
      </c>
      <c r="CO5" s="11"/>
      <c r="CP5" s="38">
        <v>1.0</v>
      </c>
      <c r="CQ5" s="38" t="s">
        <v>230</v>
      </c>
      <c r="CR5" s="11"/>
      <c r="CS5" s="38">
        <v>1.0</v>
      </c>
      <c r="CT5" s="38" t="s">
        <v>231</v>
      </c>
      <c r="CU5" s="11"/>
    </row>
    <row r="6">
      <c r="A6" s="11"/>
      <c r="B6" s="14"/>
      <c r="C6" s="7" t="s">
        <v>18</v>
      </c>
      <c r="D6" s="40">
        <v>1.0</v>
      </c>
      <c r="E6" s="38" t="s">
        <v>232</v>
      </c>
      <c r="F6" s="14"/>
      <c r="G6" s="40">
        <v>1.0</v>
      </c>
      <c r="H6" s="38" t="s">
        <v>233</v>
      </c>
      <c r="I6" s="14"/>
      <c r="J6" s="40">
        <v>1.0</v>
      </c>
      <c r="K6" s="38" t="s">
        <v>234</v>
      </c>
      <c r="L6" s="14"/>
      <c r="M6" s="40">
        <v>1.0</v>
      </c>
      <c r="N6" s="42" t="s">
        <v>235</v>
      </c>
      <c r="O6" s="14"/>
      <c r="P6" s="40">
        <v>1.0</v>
      </c>
      <c r="Q6" s="38" t="s">
        <v>236</v>
      </c>
      <c r="R6" s="14"/>
      <c r="S6" s="38">
        <v>1.0</v>
      </c>
      <c r="T6" s="38" t="s">
        <v>237</v>
      </c>
      <c r="U6" s="11"/>
      <c r="V6" s="40">
        <v>1.0</v>
      </c>
      <c r="W6" s="41" t="s">
        <v>238</v>
      </c>
      <c r="X6" s="14"/>
      <c r="Y6" s="40">
        <v>1.0</v>
      </c>
      <c r="Z6" s="38" t="s">
        <v>239</v>
      </c>
      <c r="AA6" s="14"/>
      <c r="AB6" s="40">
        <v>1.0</v>
      </c>
      <c r="AC6" s="41" t="s">
        <v>240</v>
      </c>
      <c r="AD6" s="14"/>
      <c r="AE6" s="44">
        <v>1.0</v>
      </c>
      <c r="AF6" s="38" t="s">
        <v>241</v>
      </c>
      <c r="AG6" s="11"/>
      <c r="AH6" s="40">
        <v>1.0</v>
      </c>
      <c r="AI6" s="41" t="s">
        <v>242</v>
      </c>
      <c r="AJ6" s="14"/>
      <c r="AK6" s="44">
        <v>1.0</v>
      </c>
      <c r="AL6" s="38" t="s">
        <v>182</v>
      </c>
      <c r="AM6" s="11"/>
      <c r="AN6" s="44">
        <v>1.0</v>
      </c>
      <c r="AO6" s="38" t="s">
        <v>183</v>
      </c>
      <c r="AP6" s="11"/>
      <c r="AQ6" s="38">
        <v>1.0</v>
      </c>
      <c r="AR6" s="38" t="s">
        <v>243</v>
      </c>
      <c r="AS6" s="11"/>
      <c r="AT6" s="40">
        <v>1.0</v>
      </c>
      <c r="AU6" s="41" t="s">
        <v>244</v>
      </c>
      <c r="AV6" s="14"/>
      <c r="AW6" s="38">
        <v>1.0</v>
      </c>
      <c r="AX6" s="38" t="s">
        <v>245</v>
      </c>
      <c r="AY6" s="11"/>
      <c r="AZ6" s="44">
        <v>1.0</v>
      </c>
      <c r="BA6" s="38" t="s">
        <v>187</v>
      </c>
      <c r="BB6" s="11"/>
      <c r="BC6" s="44">
        <v>1.0</v>
      </c>
      <c r="BD6" s="38" t="s">
        <v>188</v>
      </c>
      <c r="BE6" s="11"/>
      <c r="BF6" s="44">
        <v>1.0</v>
      </c>
      <c r="BG6" s="38" t="s">
        <v>246</v>
      </c>
      <c r="BH6" s="11"/>
      <c r="BI6" s="44">
        <v>1.0</v>
      </c>
      <c r="BJ6" s="38" t="s">
        <v>247</v>
      </c>
      <c r="BK6" s="11"/>
      <c r="BL6" s="44">
        <v>1.0</v>
      </c>
      <c r="BM6" s="41" t="s">
        <v>191</v>
      </c>
      <c r="BN6" s="11"/>
      <c r="BO6" s="44">
        <v>1.0</v>
      </c>
      <c r="BP6" s="38" t="s">
        <v>192</v>
      </c>
      <c r="BQ6" s="11"/>
      <c r="BR6" s="44">
        <v>1.0</v>
      </c>
      <c r="BS6" s="38" t="s">
        <v>193</v>
      </c>
      <c r="BT6" s="11"/>
      <c r="BU6" s="44">
        <v>1.0</v>
      </c>
      <c r="BV6" s="38" t="s">
        <v>194</v>
      </c>
      <c r="BW6" s="11"/>
      <c r="BX6" s="40">
        <v>1.0</v>
      </c>
      <c r="BY6" s="41" t="s">
        <v>248</v>
      </c>
      <c r="BZ6" s="14"/>
      <c r="CA6" s="44">
        <v>1.0</v>
      </c>
      <c r="CB6" s="38" t="s">
        <v>249</v>
      </c>
      <c r="CC6" s="11"/>
      <c r="CD6" s="44">
        <v>1.0</v>
      </c>
      <c r="CE6" s="38" t="s">
        <v>250</v>
      </c>
      <c r="CF6" s="11"/>
      <c r="CG6" s="40">
        <v>1.0</v>
      </c>
      <c r="CH6" s="41" t="s">
        <v>183</v>
      </c>
      <c r="CI6" s="14"/>
      <c r="CJ6" s="38">
        <v>1.0</v>
      </c>
      <c r="CK6" s="42" t="s">
        <v>251</v>
      </c>
      <c r="CL6" s="11"/>
      <c r="CM6" s="45">
        <v>1.0</v>
      </c>
      <c r="CN6" s="38" t="s">
        <v>252</v>
      </c>
      <c r="CO6" s="11"/>
      <c r="CP6" s="38">
        <v>1.0</v>
      </c>
      <c r="CQ6" s="38" t="s">
        <v>253</v>
      </c>
      <c r="CR6" s="11"/>
      <c r="CS6" s="38">
        <v>1.0</v>
      </c>
      <c r="CT6" s="38" t="s">
        <v>254</v>
      </c>
      <c r="CU6" s="11"/>
    </row>
    <row r="7">
      <c r="A7" s="11"/>
      <c r="B7" s="6" t="s">
        <v>21</v>
      </c>
      <c r="C7" s="7" t="s">
        <v>22</v>
      </c>
      <c r="D7" s="46">
        <v>0.0</v>
      </c>
      <c r="E7" s="47"/>
      <c r="F7" s="48">
        <v>0.0</v>
      </c>
      <c r="G7" s="46">
        <v>0.0</v>
      </c>
      <c r="H7" s="47" t="s">
        <v>255</v>
      </c>
      <c r="I7" s="48">
        <v>50.0</v>
      </c>
      <c r="J7" s="46">
        <v>0.0</v>
      </c>
      <c r="K7" s="38" t="s">
        <v>256</v>
      </c>
      <c r="L7" s="49">
        <v>50.0</v>
      </c>
      <c r="M7" s="46">
        <v>0.0</v>
      </c>
      <c r="N7" s="38" t="s">
        <v>257</v>
      </c>
      <c r="O7" s="48">
        <v>50.0</v>
      </c>
      <c r="P7" s="46">
        <v>0.0</v>
      </c>
      <c r="Q7" s="24"/>
      <c r="R7" s="48">
        <v>50.0</v>
      </c>
      <c r="S7" s="46">
        <v>0.0</v>
      </c>
      <c r="T7" s="38" t="s">
        <v>258</v>
      </c>
      <c r="U7" s="48">
        <v>50.0</v>
      </c>
      <c r="V7" s="46">
        <v>0.0</v>
      </c>
      <c r="W7" s="41" t="s">
        <v>259</v>
      </c>
      <c r="X7" s="44">
        <v>0.0</v>
      </c>
      <c r="Y7" s="46">
        <v>0.0</v>
      </c>
      <c r="Z7" s="47" t="s">
        <v>260</v>
      </c>
      <c r="AA7" s="48">
        <v>0.0</v>
      </c>
      <c r="AB7" s="46">
        <v>0.0</v>
      </c>
      <c r="AC7" s="50" t="s">
        <v>261</v>
      </c>
      <c r="AD7" s="48">
        <v>0.0</v>
      </c>
      <c r="AE7" s="46">
        <v>0.0</v>
      </c>
      <c r="AF7" s="38" t="s">
        <v>262</v>
      </c>
      <c r="AG7" s="48">
        <v>50.0</v>
      </c>
      <c r="AH7" s="46">
        <v>0.0</v>
      </c>
      <c r="AI7" s="50" t="s">
        <v>263</v>
      </c>
      <c r="AJ7" s="48">
        <v>0.0</v>
      </c>
      <c r="AK7" s="46">
        <v>0.0</v>
      </c>
      <c r="AL7" s="38" t="s">
        <v>264</v>
      </c>
      <c r="AM7" s="48">
        <v>50.0</v>
      </c>
      <c r="AN7" s="46">
        <v>0.0</v>
      </c>
      <c r="AO7" s="38" t="s">
        <v>265</v>
      </c>
      <c r="AP7" s="44">
        <v>0.0</v>
      </c>
      <c r="AQ7" s="46">
        <v>0.0</v>
      </c>
      <c r="AR7" s="42" t="s">
        <v>266</v>
      </c>
      <c r="AS7" s="48">
        <v>50.0</v>
      </c>
      <c r="AT7" s="46">
        <v>0.0</v>
      </c>
      <c r="AU7" s="50" t="s">
        <v>267</v>
      </c>
      <c r="AV7" s="48">
        <v>0.0</v>
      </c>
      <c r="AW7" s="46">
        <v>0.0</v>
      </c>
      <c r="AX7" s="38" t="s">
        <v>268</v>
      </c>
      <c r="AY7" s="48">
        <v>50.0</v>
      </c>
      <c r="AZ7" s="46">
        <v>0.0</v>
      </c>
      <c r="BA7" s="38" t="s">
        <v>269</v>
      </c>
      <c r="BB7" s="48">
        <v>50.0</v>
      </c>
      <c r="BC7" s="46">
        <v>0.0</v>
      </c>
      <c r="BD7" s="38" t="s">
        <v>270</v>
      </c>
      <c r="BE7" s="48">
        <v>50.0</v>
      </c>
      <c r="BF7" s="46">
        <v>0.0</v>
      </c>
      <c r="BG7" s="51"/>
      <c r="BH7" s="48">
        <v>50.0</v>
      </c>
      <c r="BI7" s="46">
        <v>0.0</v>
      </c>
      <c r="BJ7" s="38" t="s">
        <v>271</v>
      </c>
      <c r="BK7" s="44">
        <v>0.0</v>
      </c>
      <c r="BL7" s="46">
        <v>0.0</v>
      </c>
      <c r="BM7" s="41" t="s">
        <v>272</v>
      </c>
      <c r="BN7" s="44">
        <v>0.0</v>
      </c>
      <c r="BO7" s="46">
        <v>0.0</v>
      </c>
      <c r="BP7" s="38" t="s">
        <v>273</v>
      </c>
      <c r="BQ7" s="48">
        <v>50.0</v>
      </c>
      <c r="BR7" s="46">
        <v>0.0</v>
      </c>
      <c r="BS7" s="42" t="s">
        <v>274</v>
      </c>
      <c r="BT7" s="48">
        <v>50.0</v>
      </c>
      <c r="BU7" s="46">
        <v>0.0</v>
      </c>
      <c r="BV7" s="38" t="s">
        <v>260</v>
      </c>
      <c r="BW7" s="44">
        <v>0.0</v>
      </c>
      <c r="BX7" s="40">
        <v>0.0</v>
      </c>
      <c r="BY7" s="41" t="s">
        <v>275</v>
      </c>
      <c r="BZ7" s="44">
        <v>0.0</v>
      </c>
      <c r="CA7" s="46">
        <v>0.0</v>
      </c>
      <c r="CB7" s="38" t="s">
        <v>276</v>
      </c>
      <c r="CC7" s="48">
        <v>50.0</v>
      </c>
      <c r="CD7" s="46">
        <v>0.0</v>
      </c>
      <c r="CE7" s="38" t="s">
        <v>277</v>
      </c>
      <c r="CF7" s="48">
        <v>50.0</v>
      </c>
      <c r="CG7" s="46">
        <v>0.0</v>
      </c>
      <c r="CH7" s="41" t="s">
        <v>278</v>
      </c>
      <c r="CI7" s="48">
        <v>50.0</v>
      </c>
      <c r="CJ7" s="46">
        <v>0.0</v>
      </c>
      <c r="CK7" s="38" t="s">
        <v>279</v>
      </c>
      <c r="CL7" s="48">
        <v>50.0</v>
      </c>
      <c r="CM7" s="46">
        <v>0.0</v>
      </c>
      <c r="CN7" s="47" t="s">
        <v>280</v>
      </c>
      <c r="CO7" s="48">
        <v>0.0</v>
      </c>
      <c r="CP7" s="52">
        <v>0.0</v>
      </c>
      <c r="CQ7" s="47" t="s">
        <v>281</v>
      </c>
      <c r="CR7" s="48">
        <v>0.0</v>
      </c>
      <c r="CS7" s="46">
        <v>0.0</v>
      </c>
      <c r="CT7" s="38" t="s">
        <v>282</v>
      </c>
      <c r="CU7" s="48">
        <v>50.0</v>
      </c>
    </row>
    <row r="8">
      <c r="A8" s="14"/>
      <c r="B8" s="14"/>
      <c r="C8" s="7" t="s">
        <v>26</v>
      </c>
      <c r="D8" s="45">
        <v>0.0</v>
      </c>
      <c r="E8" s="47" t="s">
        <v>283</v>
      </c>
      <c r="F8" s="14"/>
      <c r="G8" s="38">
        <v>1.0</v>
      </c>
      <c r="H8" s="47" t="s">
        <v>284</v>
      </c>
      <c r="I8" s="14"/>
      <c r="J8" s="38">
        <v>1.0</v>
      </c>
      <c r="K8" s="38" t="s">
        <v>234</v>
      </c>
      <c r="L8" s="14"/>
      <c r="M8" s="38">
        <v>1.0</v>
      </c>
      <c r="N8" s="38" t="s">
        <v>285</v>
      </c>
      <c r="O8" s="14"/>
      <c r="P8" s="38">
        <v>1.0</v>
      </c>
      <c r="Q8" s="38" t="s">
        <v>286</v>
      </c>
      <c r="R8" s="14"/>
      <c r="S8" s="38">
        <v>1.0</v>
      </c>
      <c r="T8" s="51"/>
      <c r="U8" s="14"/>
      <c r="V8" s="38">
        <v>0.0</v>
      </c>
      <c r="W8" s="43"/>
      <c r="X8" s="14"/>
      <c r="Y8" s="45">
        <v>0.0</v>
      </c>
      <c r="Z8" s="47" t="s">
        <v>287</v>
      </c>
      <c r="AA8" s="14"/>
      <c r="AB8" s="45">
        <v>0.0</v>
      </c>
      <c r="AC8" s="50" t="s">
        <v>288</v>
      </c>
      <c r="AD8" s="14"/>
      <c r="AE8" s="38">
        <v>1.0</v>
      </c>
      <c r="AF8" s="38" t="s">
        <v>289</v>
      </c>
      <c r="AG8" s="14"/>
      <c r="AH8" s="45">
        <v>0.0</v>
      </c>
      <c r="AI8" s="50" t="s">
        <v>290</v>
      </c>
      <c r="AJ8" s="14"/>
      <c r="AK8" s="38">
        <v>1.0</v>
      </c>
      <c r="AL8" s="38" t="s">
        <v>212</v>
      </c>
      <c r="AM8" s="14"/>
      <c r="AN8" s="38">
        <v>0.0</v>
      </c>
      <c r="AO8" s="51"/>
      <c r="AP8" s="14"/>
      <c r="AQ8" s="38">
        <v>1.0</v>
      </c>
      <c r="AR8" s="51"/>
      <c r="AS8" s="14"/>
      <c r="AT8" s="45">
        <v>0.0</v>
      </c>
      <c r="AU8" s="50" t="s">
        <v>291</v>
      </c>
      <c r="AV8" s="14"/>
      <c r="AW8" s="38">
        <v>1.0</v>
      </c>
      <c r="AX8" s="51"/>
      <c r="AY8" s="14"/>
      <c r="AZ8" s="38">
        <v>1.0</v>
      </c>
      <c r="BA8" s="38" t="s">
        <v>292</v>
      </c>
      <c r="BB8" s="14"/>
      <c r="BC8" s="38">
        <v>1.0</v>
      </c>
      <c r="BD8" s="38" t="s">
        <v>293</v>
      </c>
      <c r="BE8" s="14"/>
      <c r="BF8" s="38">
        <v>1.0</v>
      </c>
      <c r="BG8" s="38" t="s">
        <v>219</v>
      </c>
      <c r="BH8" s="14"/>
      <c r="BI8" s="38">
        <v>0.0</v>
      </c>
      <c r="BJ8" s="51"/>
      <c r="BK8" s="14"/>
      <c r="BL8" s="38">
        <v>0.0</v>
      </c>
      <c r="BM8" s="41" t="s">
        <v>220</v>
      </c>
      <c r="BN8" s="14"/>
      <c r="BO8" s="38">
        <v>1.0</v>
      </c>
      <c r="BP8" s="38" t="s">
        <v>221</v>
      </c>
      <c r="BQ8" s="14"/>
      <c r="BR8" s="38">
        <v>1.0</v>
      </c>
      <c r="BS8" s="38" t="s">
        <v>222</v>
      </c>
      <c r="BT8" s="14"/>
      <c r="BU8" s="38">
        <v>0.0</v>
      </c>
      <c r="BV8" s="51"/>
      <c r="BW8" s="14"/>
      <c r="BX8" s="40">
        <v>0.0</v>
      </c>
      <c r="BY8" s="41" t="s">
        <v>224</v>
      </c>
      <c r="BZ8" s="14"/>
      <c r="CA8" s="38">
        <v>1.0</v>
      </c>
      <c r="CB8" s="38" t="s">
        <v>294</v>
      </c>
      <c r="CC8" s="14"/>
      <c r="CD8" s="38">
        <v>1.0</v>
      </c>
      <c r="CE8" s="38" t="s">
        <v>226</v>
      </c>
      <c r="CF8" s="14"/>
      <c r="CG8" s="38">
        <v>1.0</v>
      </c>
      <c r="CH8" s="41" t="s">
        <v>295</v>
      </c>
      <c r="CI8" s="14"/>
      <c r="CJ8" s="38">
        <v>1.0</v>
      </c>
      <c r="CK8" s="51"/>
      <c r="CL8" s="14"/>
      <c r="CM8" s="45">
        <v>0.0</v>
      </c>
      <c r="CN8" s="47" t="s">
        <v>296</v>
      </c>
      <c r="CO8" s="14"/>
      <c r="CP8" s="45">
        <v>0.0</v>
      </c>
      <c r="CQ8" s="47" t="s">
        <v>297</v>
      </c>
      <c r="CR8" s="14"/>
      <c r="CS8" s="38">
        <v>1.0</v>
      </c>
      <c r="CT8" s="38" t="s">
        <v>298</v>
      </c>
      <c r="CU8" s="14"/>
    </row>
    <row r="9">
      <c r="A9" s="5" t="s">
        <v>30</v>
      </c>
      <c r="B9" s="6" t="s">
        <v>31</v>
      </c>
      <c r="C9" s="7" t="s">
        <v>32</v>
      </c>
      <c r="D9" s="38">
        <v>1.0</v>
      </c>
      <c r="E9" s="38" t="s">
        <v>299</v>
      </c>
      <c r="F9" s="48">
        <v>50.0</v>
      </c>
      <c r="G9" s="38">
        <v>1.0</v>
      </c>
      <c r="H9" s="38" t="s">
        <v>300</v>
      </c>
      <c r="I9" s="48">
        <v>50.0</v>
      </c>
      <c r="J9" s="38">
        <v>1.0</v>
      </c>
      <c r="K9" s="38" t="s">
        <v>301</v>
      </c>
      <c r="L9" s="48">
        <v>50.0</v>
      </c>
      <c r="M9" s="38">
        <v>1.0</v>
      </c>
      <c r="N9" s="42" t="s">
        <v>235</v>
      </c>
      <c r="O9" s="48">
        <v>50.0</v>
      </c>
      <c r="P9" s="38">
        <v>1.0</v>
      </c>
      <c r="Q9" s="38" t="s">
        <v>302</v>
      </c>
      <c r="R9" s="48">
        <v>50.0</v>
      </c>
      <c r="S9" s="38">
        <v>1.0</v>
      </c>
      <c r="T9" s="38" t="s">
        <v>237</v>
      </c>
      <c r="U9" s="48">
        <v>50.0</v>
      </c>
      <c r="V9" s="38">
        <v>1.0</v>
      </c>
      <c r="W9" s="41" t="s">
        <v>303</v>
      </c>
      <c r="X9" s="48">
        <v>50.0</v>
      </c>
      <c r="Y9" s="38">
        <v>1.0</v>
      </c>
      <c r="Z9" s="38" t="s">
        <v>304</v>
      </c>
      <c r="AA9" s="48">
        <v>50.0</v>
      </c>
      <c r="AB9" s="38">
        <v>1.0</v>
      </c>
      <c r="AC9" s="41" t="s">
        <v>240</v>
      </c>
      <c r="AD9" s="48">
        <v>50.0</v>
      </c>
      <c r="AE9" s="38">
        <v>1.0</v>
      </c>
      <c r="AF9" s="38" t="s">
        <v>241</v>
      </c>
      <c r="AG9" s="48">
        <v>50.0</v>
      </c>
      <c r="AH9" s="38">
        <v>1.0</v>
      </c>
      <c r="AI9" s="41" t="s">
        <v>242</v>
      </c>
      <c r="AJ9" s="48">
        <v>50.0</v>
      </c>
      <c r="AK9" s="38">
        <v>1.0</v>
      </c>
      <c r="AL9" s="38" t="s">
        <v>182</v>
      </c>
      <c r="AM9" s="48">
        <v>50.0</v>
      </c>
      <c r="AN9" s="38">
        <v>1.0</v>
      </c>
      <c r="AO9" s="38" t="s">
        <v>183</v>
      </c>
      <c r="AP9" s="48">
        <v>50.0</v>
      </c>
      <c r="AQ9" s="38">
        <v>1.0</v>
      </c>
      <c r="AR9" s="38" t="s">
        <v>243</v>
      </c>
      <c r="AS9" s="48">
        <v>75.0</v>
      </c>
      <c r="AT9" s="38">
        <v>1.0</v>
      </c>
      <c r="AU9" s="41" t="s">
        <v>305</v>
      </c>
      <c r="AV9" s="48">
        <v>50.0</v>
      </c>
      <c r="AW9" s="38">
        <v>1.0</v>
      </c>
      <c r="AX9" s="38" t="s">
        <v>245</v>
      </c>
      <c r="AY9" s="48">
        <v>75.0</v>
      </c>
      <c r="AZ9" s="40">
        <v>1.0</v>
      </c>
      <c r="BA9" s="38" t="s">
        <v>187</v>
      </c>
      <c r="BB9" s="48">
        <v>75.0</v>
      </c>
      <c r="BC9" s="38">
        <v>1.0</v>
      </c>
      <c r="BD9" s="38" t="s">
        <v>188</v>
      </c>
      <c r="BE9" s="48">
        <v>50.0</v>
      </c>
      <c r="BF9" s="38">
        <v>1.0</v>
      </c>
      <c r="BG9" s="38" t="s">
        <v>246</v>
      </c>
      <c r="BH9" s="48">
        <v>50.0</v>
      </c>
      <c r="BI9" s="38">
        <v>1.0</v>
      </c>
      <c r="BJ9" s="38" t="s">
        <v>247</v>
      </c>
      <c r="BK9" s="48">
        <v>50.0</v>
      </c>
      <c r="BL9" s="38">
        <v>1.0</v>
      </c>
      <c r="BM9" s="41" t="s">
        <v>191</v>
      </c>
      <c r="BN9" s="48">
        <v>50.0</v>
      </c>
      <c r="BO9" s="38">
        <v>1.0</v>
      </c>
      <c r="BP9" s="38" t="s">
        <v>192</v>
      </c>
      <c r="BQ9" s="48">
        <v>50.0</v>
      </c>
      <c r="BR9" s="38">
        <v>1.0</v>
      </c>
      <c r="BS9" s="38" t="s">
        <v>193</v>
      </c>
      <c r="BT9" s="48">
        <v>50.0</v>
      </c>
      <c r="BU9" s="38">
        <v>1.0</v>
      </c>
      <c r="BV9" s="38" t="s">
        <v>194</v>
      </c>
      <c r="BW9" s="48">
        <v>50.0</v>
      </c>
      <c r="BX9" s="38">
        <v>1.0</v>
      </c>
      <c r="BY9" s="41" t="s">
        <v>248</v>
      </c>
      <c r="BZ9" s="48">
        <v>50.0</v>
      </c>
      <c r="CA9" s="38">
        <v>1.0</v>
      </c>
      <c r="CB9" s="38" t="s">
        <v>249</v>
      </c>
      <c r="CC9" s="48">
        <v>50.0</v>
      </c>
      <c r="CD9" s="40">
        <v>1.0</v>
      </c>
      <c r="CE9" s="38" t="s">
        <v>306</v>
      </c>
      <c r="CF9" s="48">
        <v>75.0</v>
      </c>
      <c r="CG9" s="38">
        <v>1.0</v>
      </c>
      <c r="CH9" s="41" t="s">
        <v>183</v>
      </c>
      <c r="CI9" s="48">
        <v>50.0</v>
      </c>
      <c r="CJ9" s="38">
        <v>1.0</v>
      </c>
      <c r="CK9" s="38" t="s">
        <v>251</v>
      </c>
      <c r="CL9" s="48">
        <v>50.0</v>
      </c>
      <c r="CM9" s="38">
        <v>1.0</v>
      </c>
      <c r="CN9" s="47" t="s">
        <v>296</v>
      </c>
      <c r="CO9" s="49">
        <v>50.0</v>
      </c>
      <c r="CP9" s="38">
        <v>1.0</v>
      </c>
      <c r="CQ9" s="38" t="s">
        <v>307</v>
      </c>
      <c r="CR9" s="48">
        <v>50.0</v>
      </c>
      <c r="CS9" s="38">
        <v>1.0</v>
      </c>
      <c r="CT9" s="38" t="s">
        <v>308</v>
      </c>
      <c r="CU9" s="48">
        <v>75.0</v>
      </c>
    </row>
    <row r="10">
      <c r="A10" s="11"/>
      <c r="B10" s="11"/>
      <c r="C10" s="7" t="s">
        <v>35</v>
      </c>
      <c r="D10" s="38">
        <v>0.0</v>
      </c>
      <c r="E10" s="38" t="s">
        <v>309</v>
      </c>
      <c r="F10" s="11"/>
      <c r="G10" s="38">
        <v>0.0</v>
      </c>
      <c r="H10" s="51"/>
      <c r="I10" s="11"/>
      <c r="J10" s="38">
        <v>0.0</v>
      </c>
      <c r="K10" s="38" t="s">
        <v>310</v>
      </c>
      <c r="L10" s="11"/>
      <c r="M10" s="38">
        <v>0.0</v>
      </c>
      <c r="N10" s="38" t="s">
        <v>311</v>
      </c>
      <c r="O10" s="11"/>
      <c r="P10" s="38">
        <v>0.0</v>
      </c>
      <c r="Q10" s="38" t="s">
        <v>312</v>
      </c>
      <c r="R10" s="11"/>
      <c r="S10" s="38">
        <v>0.0</v>
      </c>
      <c r="T10" s="42" t="s">
        <v>313</v>
      </c>
      <c r="U10" s="11"/>
      <c r="V10" s="38">
        <v>0.0</v>
      </c>
      <c r="W10" s="41" t="s">
        <v>314</v>
      </c>
      <c r="X10" s="11"/>
      <c r="Y10" s="38">
        <v>0.0</v>
      </c>
      <c r="Z10" s="38" t="s">
        <v>315</v>
      </c>
      <c r="AA10" s="11"/>
      <c r="AB10" s="38">
        <v>0.0</v>
      </c>
      <c r="AC10" s="41" t="s">
        <v>316</v>
      </c>
      <c r="AD10" s="11"/>
      <c r="AE10" s="38">
        <v>0.0</v>
      </c>
      <c r="AF10" s="38" t="s">
        <v>317</v>
      </c>
      <c r="AG10" s="11"/>
      <c r="AH10" s="38">
        <v>0.0</v>
      </c>
      <c r="AI10" s="41" t="s">
        <v>318</v>
      </c>
      <c r="AJ10" s="11"/>
      <c r="AK10" s="38">
        <v>0.0</v>
      </c>
      <c r="AL10" s="38" t="s">
        <v>319</v>
      </c>
      <c r="AM10" s="11"/>
      <c r="AN10" s="38">
        <v>0.0</v>
      </c>
      <c r="AO10" s="38" t="s">
        <v>320</v>
      </c>
      <c r="AP10" s="11"/>
      <c r="AQ10" s="45">
        <v>1.0</v>
      </c>
      <c r="AR10" s="38" t="s">
        <v>321</v>
      </c>
      <c r="AS10" s="11"/>
      <c r="AT10" s="38">
        <v>0.0</v>
      </c>
      <c r="AU10" s="41" t="s">
        <v>322</v>
      </c>
      <c r="AV10" s="11"/>
      <c r="AW10" s="45">
        <v>1.0</v>
      </c>
      <c r="AX10" s="38" t="s">
        <v>323</v>
      </c>
      <c r="AY10" s="11"/>
      <c r="AZ10" s="40">
        <v>1.0</v>
      </c>
      <c r="BA10" s="38" t="s">
        <v>324</v>
      </c>
      <c r="BB10" s="11"/>
      <c r="BC10" s="38">
        <v>0.0</v>
      </c>
      <c r="BD10" s="38" t="s">
        <v>325</v>
      </c>
      <c r="BE10" s="11"/>
      <c r="BF10" s="38">
        <v>0.0</v>
      </c>
      <c r="BG10" s="38" t="s">
        <v>326</v>
      </c>
      <c r="BH10" s="11"/>
      <c r="BI10" s="38">
        <v>0.0</v>
      </c>
      <c r="BJ10" s="38" t="s">
        <v>327</v>
      </c>
      <c r="BK10" s="11"/>
      <c r="BL10" s="38">
        <v>0.0</v>
      </c>
      <c r="BM10" s="41" t="s">
        <v>328</v>
      </c>
      <c r="BN10" s="11"/>
      <c r="BO10" s="38">
        <v>0.0</v>
      </c>
      <c r="BP10" s="38" t="s">
        <v>329</v>
      </c>
      <c r="BQ10" s="11"/>
      <c r="BR10" s="38">
        <v>0.0</v>
      </c>
      <c r="BS10" s="38" t="s">
        <v>330</v>
      </c>
      <c r="BT10" s="11"/>
      <c r="BU10" s="38">
        <v>0.0</v>
      </c>
      <c r="BV10" s="38" t="s">
        <v>331</v>
      </c>
      <c r="BW10" s="11"/>
      <c r="BX10" s="38">
        <v>0.0</v>
      </c>
      <c r="BY10" s="41" t="s">
        <v>332</v>
      </c>
      <c r="BZ10" s="11"/>
      <c r="CA10" s="38">
        <v>0.0</v>
      </c>
      <c r="CB10" s="38" t="s">
        <v>333</v>
      </c>
      <c r="CC10" s="11"/>
      <c r="CD10" s="40">
        <v>1.0</v>
      </c>
      <c r="CE10" s="38" t="s">
        <v>334</v>
      </c>
      <c r="CF10" s="11"/>
      <c r="CG10" s="38">
        <v>0.0</v>
      </c>
      <c r="CH10" s="41" t="s">
        <v>335</v>
      </c>
      <c r="CI10" s="11"/>
      <c r="CJ10" s="45">
        <v>0.0</v>
      </c>
      <c r="CK10" s="38" t="s">
        <v>336</v>
      </c>
      <c r="CL10" s="11"/>
      <c r="CM10" s="38">
        <v>0.0</v>
      </c>
      <c r="CN10" s="47" t="s">
        <v>337</v>
      </c>
      <c r="CO10" s="11"/>
      <c r="CP10" s="38">
        <v>0.0</v>
      </c>
      <c r="CQ10" s="42" t="s">
        <v>338</v>
      </c>
      <c r="CR10" s="11"/>
      <c r="CS10" s="38">
        <v>0.0</v>
      </c>
      <c r="CT10" s="38" t="s">
        <v>339</v>
      </c>
      <c r="CU10" s="11"/>
    </row>
    <row r="11">
      <c r="A11" s="11"/>
      <c r="B11" s="11"/>
      <c r="C11" s="7" t="s">
        <v>38</v>
      </c>
      <c r="D11" s="38">
        <v>1.0</v>
      </c>
      <c r="E11" s="38" t="s">
        <v>340</v>
      </c>
      <c r="F11" s="11"/>
      <c r="G11" s="38">
        <v>1.0</v>
      </c>
      <c r="H11" s="38" t="s">
        <v>341</v>
      </c>
      <c r="I11" s="11"/>
      <c r="J11" s="38">
        <v>1.0</v>
      </c>
      <c r="K11" s="38" t="s">
        <v>342</v>
      </c>
      <c r="L11" s="11"/>
      <c r="M11" s="38">
        <v>1.0</v>
      </c>
      <c r="N11" s="38" t="s">
        <v>343</v>
      </c>
      <c r="O11" s="11"/>
      <c r="P11" s="38">
        <v>1.0</v>
      </c>
      <c r="Q11" s="38" t="s">
        <v>344</v>
      </c>
      <c r="R11" s="11"/>
      <c r="S11" s="45">
        <v>1.0</v>
      </c>
      <c r="T11" s="38" t="s">
        <v>345</v>
      </c>
      <c r="U11" s="11"/>
      <c r="V11" s="38">
        <v>1.0</v>
      </c>
      <c r="W11" s="41" t="s">
        <v>346</v>
      </c>
      <c r="X11" s="11"/>
      <c r="Y11" s="38">
        <v>1.0</v>
      </c>
      <c r="Z11" s="38" t="s">
        <v>347</v>
      </c>
      <c r="AA11" s="11"/>
      <c r="AB11" s="38">
        <v>1.0</v>
      </c>
      <c r="AC11" s="41" t="s">
        <v>348</v>
      </c>
      <c r="AD11" s="11"/>
      <c r="AE11" s="38">
        <v>1.0</v>
      </c>
      <c r="AF11" s="38" t="s">
        <v>349</v>
      </c>
      <c r="AG11" s="11"/>
      <c r="AH11" s="38">
        <v>1.0</v>
      </c>
      <c r="AI11" s="41" t="s">
        <v>350</v>
      </c>
      <c r="AJ11" s="11"/>
      <c r="AK11" s="38">
        <v>1.0</v>
      </c>
      <c r="AL11" s="38" t="s">
        <v>351</v>
      </c>
      <c r="AM11" s="11"/>
      <c r="AN11" s="38">
        <v>1.0</v>
      </c>
      <c r="AO11" s="38" t="s">
        <v>352</v>
      </c>
      <c r="AP11" s="11"/>
      <c r="AQ11" s="45">
        <v>1.0</v>
      </c>
      <c r="AR11" s="38" t="s">
        <v>353</v>
      </c>
      <c r="AS11" s="11"/>
      <c r="AT11" s="38">
        <v>1.0</v>
      </c>
      <c r="AU11" s="41" t="s">
        <v>354</v>
      </c>
      <c r="AV11" s="11"/>
      <c r="AW11" s="45">
        <v>1.0</v>
      </c>
      <c r="AX11" s="38" t="s">
        <v>355</v>
      </c>
      <c r="AY11" s="11"/>
      <c r="AZ11" s="40">
        <v>1.0</v>
      </c>
      <c r="BA11" s="38" t="s">
        <v>352</v>
      </c>
      <c r="BB11" s="11"/>
      <c r="BC11" s="38">
        <v>1.0</v>
      </c>
      <c r="BD11" s="38" t="s">
        <v>356</v>
      </c>
      <c r="BE11" s="11"/>
      <c r="BF11" s="38">
        <v>1.0</v>
      </c>
      <c r="BG11" s="38" t="s">
        <v>357</v>
      </c>
      <c r="BH11" s="11"/>
      <c r="BI11" s="38">
        <v>1.0</v>
      </c>
      <c r="BJ11" s="38" t="s">
        <v>358</v>
      </c>
      <c r="BK11" s="11"/>
      <c r="BL11" s="38">
        <v>1.0</v>
      </c>
      <c r="BM11" s="41" t="s">
        <v>352</v>
      </c>
      <c r="BN11" s="11"/>
      <c r="BO11" s="38">
        <v>1.0</v>
      </c>
      <c r="BP11" s="38" t="s">
        <v>359</v>
      </c>
      <c r="BQ11" s="11"/>
      <c r="BR11" s="38">
        <v>1.0</v>
      </c>
      <c r="BS11" s="38" t="s">
        <v>360</v>
      </c>
      <c r="BT11" s="11"/>
      <c r="BU11" s="38">
        <v>1.0</v>
      </c>
      <c r="BV11" s="38" t="s">
        <v>361</v>
      </c>
      <c r="BW11" s="11"/>
      <c r="BX11" s="38">
        <v>1.0</v>
      </c>
      <c r="BY11" s="41" t="s">
        <v>362</v>
      </c>
      <c r="BZ11" s="11"/>
      <c r="CA11" s="38">
        <v>1.0</v>
      </c>
      <c r="CB11" s="38" t="s">
        <v>363</v>
      </c>
      <c r="CC11" s="11"/>
      <c r="CD11" s="40">
        <v>1.0</v>
      </c>
      <c r="CE11" s="38" t="s">
        <v>364</v>
      </c>
      <c r="CF11" s="11"/>
      <c r="CG11" s="38">
        <v>1.0</v>
      </c>
      <c r="CH11" s="41" t="s">
        <v>365</v>
      </c>
      <c r="CI11" s="11"/>
      <c r="CJ11" s="45">
        <v>1.0</v>
      </c>
      <c r="CK11" s="38" t="s">
        <v>366</v>
      </c>
      <c r="CL11" s="11"/>
      <c r="CM11" s="45">
        <v>1.0</v>
      </c>
      <c r="CN11" s="53" t="s">
        <v>367</v>
      </c>
      <c r="CO11" s="11"/>
      <c r="CP11" s="45">
        <v>1.0</v>
      </c>
      <c r="CQ11" s="38" t="s">
        <v>368</v>
      </c>
      <c r="CR11" s="11"/>
      <c r="CS11" s="38">
        <v>1.0</v>
      </c>
      <c r="CT11" s="42" t="s">
        <v>369</v>
      </c>
      <c r="CU11" s="11"/>
    </row>
    <row r="12">
      <c r="A12" s="14"/>
      <c r="B12" s="14"/>
      <c r="C12" s="7" t="s">
        <v>41</v>
      </c>
      <c r="D12" s="38">
        <v>0.0</v>
      </c>
      <c r="E12" s="51"/>
      <c r="F12" s="14"/>
      <c r="G12" s="38">
        <v>0.0</v>
      </c>
      <c r="H12" s="51"/>
      <c r="I12" s="14"/>
      <c r="J12" s="38">
        <v>0.0</v>
      </c>
      <c r="K12" s="51"/>
      <c r="L12" s="14"/>
      <c r="M12" s="38">
        <v>0.0</v>
      </c>
      <c r="N12" s="51"/>
      <c r="O12" s="14"/>
      <c r="P12" s="38">
        <v>0.0</v>
      </c>
      <c r="Q12" s="51"/>
      <c r="R12" s="14"/>
      <c r="S12" s="38">
        <v>0.0</v>
      </c>
      <c r="T12" s="51"/>
      <c r="U12" s="14"/>
      <c r="V12" s="38">
        <v>0.0</v>
      </c>
      <c r="W12" s="43"/>
      <c r="X12" s="14"/>
      <c r="Y12" s="38">
        <v>0.0</v>
      </c>
      <c r="Z12" s="51"/>
      <c r="AA12" s="14"/>
      <c r="AB12" s="38">
        <v>0.0</v>
      </c>
      <c r="AC12" s="43"/>
      <c r="AD12" s="14"/>
      <c r="AE12" s="38">
        <v>0.0</v>
      </c>
      <c r="AF12" s="51"/>
      <c r="AG12" s="14"/>
      <c r="AH12" s="38">
        <v>0.0</v>
      </c>
      <c r="AI12" s="43"/>
      <c r="AJ12" s="14"/>
      <c r="AK12" s="38">
        <v>0.0</v>
      </c>
      <c r="AL12" s="51"/>
      <c r="AM12" s="14"/>
      <c r="AN12" s="38">
        <v>0.0</v>
      </c>
      <c r="AO12" s="51"/>
      <c r="AP12" s="14"/>
      <c r="AQ12" s="38">
        <v>0.0</v>
      </c>
      <c r="AR12" s="38" t="s">
        <v>370</v>
      </c>
      <c r="AS12" s="14"/>
      <c r="AT12" s="38">
        <v>0.0</v>
      </c>
      <c r="AU12" s="43"/>
      <c r="AV12" s="14"/>
      <c r="AW12" s="38">
        <v>0.0</v>
      </c>
      <c r="AX12" s="51"/>
      <c r="AY12" s="14"/>
      <c r="AZ12" s="40">
        <v>0.0</v>
      </c>
      <c r="BA12" s="51"/>
      <c r="BB12" s="14"/>
      <c r="BC12" s="38">
        <v>0.0</v>
      </c>
      <c r="BD12" s="51"/>
      <c r="BE12" s="14"/>
      <c r="BF12" s="38">
        <v>0.0</v>
      </c>
      <c r="BG12" s="51"/>
      <c r="BH12" s="14"/>
      <c r="BI12" s="38">
        <v>0.0</v>
      </c>
      <c r="BJ12" s="51"/>
      <c r="BK12" s="14"/>
      <c r="BL12" s="38">
        <v>0.0</v>
      </c>
      <c r="BM12" s="51"/>
      <c r="BN12" s="14"/>
      <c r="BO12" s="38">
        <v>0.0</v>
      </c>
      <c r="BP12" s="51"/>
      <c r="BQ12" s="14"/>
      <c r="BR12" s="38">
        <v>0.0</v>
      </c>
      <c r="BS12" s="51"/>
      <c r="BT12" s="14"/>
      <c r="BU12" s="38">
        <v>0.0</v>
      </c>
      <c r="BV12" s="51"/>
      <c r="BW12" s="14"/>
      <c r="BX12" s="38">
        <v>0.0</v>
      </c>
      <c r="BY12" s="43"/>
      <c r="BZ12" s="14"/>
      <c r="CA12" s="38">
        <v>0.0</v>
      </c>
      <c r="CB12" s="51"/>
      <c r="CC12" s="14"/>
      <c r="CD12" s="40">
        <v>0.0</v>
      </c>
      <c r="CE12" s="51"/>
      <c r="CF12" s="14"/>
      <c r="CG12" s="38">
        <v>0.0</v>
      </c>
      <c r="CH12" s="43"/>
      <c r="CI12" s="14"/>
      <c r="CJ12" s="38">
        <v>0.0</v>
      </c>
      <c r="CK12" s="51"/>
      <c r="CL12" s="14"/>
      <c r="CM12" s="38">
        <v>0.0</v>
      </c>
      <c r="CN12" s="54"/>
      <c r="CO12" s="14"/>
      <c r="CP12" s="38">
        <v>0.0</v>
      </c>
      <c r="CQ12" s="38" t="s">
        <v>253</v>
      </c>
      <c r="CR12" s="14"/>
      <c r="CS12" s="38">
        <v>1.0</v>
      </c>
      <c r="CT12" s="42" t="s">
        <v>371</v>
      </c>
      <c r="CU12" s="14"/>
    </row>
    <row r="13">
      <c r="A13" s="5" t="s">
        <v>44</v>
      </c>
      <c r="B13" s="2" t="s">
        <v>45</v>
      </c>
      <c r="C13" s="7" t="s">
        <v>46</v>
      </c>
      <c r="D13" s="40">
        <v>1.0</v>
      </c>
      <c r="E13" s="38" t="s">
        <v>372</v>
      </c>
      <c r="F13" s="55">
        <v>100.0</v>
      </c>
      <c r="G13" s="40">
        <v>0.0</v>
      </c>
      <c r="H13" s="38" t="s">
        <v>373</v>
      </c>
      <c r="I13" s="40">
        <v>0.0</v>
      </c>
      <c r="J13" s="40">
        <v>0.0</v>
      </c>
      <c r="K13" s="38" t="s">
        <v>374</v>
      </c>
      <c r="L13" s="40">
        <v>0.0</v>
      </c>
      <c r="M13" s="40">
        <v>1.0</v>
      </c>
      <c r="N13" s="38" t="s">
        <v>375</v>
      </c>
      <c r="O13" s="55">
        <v>100.0</v>
      </c>
      <c r="P13" s="55">
        <v>0.0</v>
      </c>
      <c r="Q13" s="47" t="s">
        <v>376</v>
      </c>
      <c r="R13" s="55">
        <v>0.0</v>
      </c>
      <c r="S13" s="40">
        <v>0.0</v>
      </c>
      <c r="T13" s="42" t="s">
        <v>377</v>
      </c>
      <c r="U13" s="40">
        <v>0.0</v>
      </c>
      <c r="V13" s="40">
        <v>0.0</v>
      </c>
      <c r="W13" s="41" t="s">
        <v>378</v>
      </c>
      <c r="X13" s="40">
        <v>0.0</v>
      </c>
      <c r="Y13" s="55">
        <v>0.0</v>
      </c>
      <c r="Z13" s="47" t="s">
        <v>379</v>
      </c>
      <c r="AA13" s="55">
        <v>0.0</v>
      </c>
      <c r="AB13" s="40">
        <v>1.0</v>
      </c>
      <c r="AC13" s="41" t="s">
        <v>380</v>
      </c>
      <c r="AD13" s="55">
        <v>100.0</v>
      </c>
      <c r="AE13" s="40">
        <v>0.0</v>
      </c>
      <c r="AF13" s="51"/>
      <c r="AG13" s="40">
        <v>0.0</v>
      </c>
      <c r="AH13" s="40">
        <v>0.0</v>
      </c>
      <c r="AI13" s="43"/>
      <c r="AJ13" s="40">
        <v>0.0</v>
      </c>
      <c r="AK13" s="40">
        <v>1.0</v>
      </c>
      <c r="AL13" s="38" t="s">
        <v>381</v>
      </c>
      <c r="AM13" s="55">
        <v>100.0</v>
      </c>
      <c r="AN13" s="40">
        <v>0.0</v>
      </c>
      <c r="AO13" s="38" t="s">
        <v>382</v>
      </c>
      <c r="AP13" s="40">
        <v>0.0</v>
      </c>
      <c r="AQ13" s="55">
        <v>1.0</v>
      </c>
      <c r="AR13" s="47" t="s">
        <v>383</v>
      </c>
      <c r="AS13" s="55">
        <v>100.0</v>
      </c>
      <c r="AT13" s="40">
        <v>0.0</v>
      </c>
      <c r="AU13" s="41" t="s">
        <v>384</v>
      </c>
      <c r="AV13" s="40">
        <v>0.0</v>
      </c>
      <c r="AW13" s="40">
        <v>1.0</v>
      </c>
      <c r="AX13" s="38" t="s">
        <v>385</v>
      </c>
      <c r="AY13" s="55">
        <v>100.0</v>
      </c>
      <c r="AZ13" s="40">
        <v>1.0</v>
      </c>
      <c r="BA13" s="38" t="s">
        <v>386</v>
      </c>
      <c r="BB13" s="55">
        <v>100.0</v>
      </c>
      <c r="BC13" s="40">
        <v>0.0</v>
      </c>
      <c r="BD13" s="38" t="s">
        <v>387</v>
      </c>
      <c r="BE13" s="40">
        <v>0.0</v>
      </c>
      <c r="BF13" s="40">
        <v>0.0</v>
      </c>
      <c r="BG13" s="38" t="s">
        <v>388</v>
      </c>
      <c r="BH13" s="40">
        <v>0.0</v>
      </c>
      <c r="BI13" s="40">
        <v>1.0</v>
      </c>
      <c r="BJ13" s="42" t="s">
        <v>389</v>
      </c>
      <c r="BK13" s="55">
        <v>100.0</v>
      </c>
      <c r="BL13" s="40">
        <v>1.0</v>
      </c>
      <c r="BM13" s="41" t="s">
        <v>390</v>
      </c>
      <c r="BN13" s="55">
        <v>100.0</v>
      </c>
      <c r="BO13" s="55">
        <v>1.0</v>
      </c>
      <c r="BP13" s="47" t="s">
        <v>391</v>
      </c>
      <c r="BQ13" s="55">
        <v>100.0</v>
      </c>
      <c r="BR13" s="40">
        <v>1.0</v>
      </c>
      <c r="BS13" s="38" t="s">
        <v>392</v>
      </c>
      <c r="BT13" s="55">
        <v>100.0</v>
      </c>
      <c r="BU13" s="40">
        <v>1.0</v>
      </c>
      <c r="BV13" s="38" t="s">
        <v>393</v>
      </c>
      <c r="BW13" s="55">
        <v>100.0</v>
      </c>
      <c r="BX13" s="55">
        <v>0.0</v>
      </c>
      <c r="BY13" s="50" t="s">
        <v>394</v>
      </c>
      <c r="BZ13" s="55">
        <v>0.0</v>
      </c>
      <c r="CA13" s="40">
        <v>0.0</v>
      </c>
      <c r="CB13" s="38" t="s">
        <v>395</v>
      </c>
      <c r="CC13" s="40">
        <v>0.0</v>
      </c>
      <c r="CD13" s="40">
        <v>0.0</v>
      </c>
      <c r="CE13" s="38" t="s">
        <v>396</v>
      </c>
      <c r="CF13" s="40">
        <v>0.0</v>
      </c>
      <c r="CG13" s="40">
        <v>0.0</v>
      </c>
      <c r="CH13" s="41" t="s">
        <v>397</v>
      </c>
      <c r="CI13" s="40">
        <v>0.0</v>
      </c>
      <c r="CJ13" s="40">
        <v>0.0</v>
      </c>
      <c r="CK13" s="38" t="s">
        <v>398</v>
      </c>
      <c r="CL13" s="40">
        <v>0.0</v>
      </c>
      <c r="CM13" s="40">
        <v>1.0</v>
      </c>
      <c r="CN13" s="38" t="s">
        <v>399</v>
      </c>
      <c r="CO13" s="55">
        <v>100.0</v>
      </c>
      <c r="CP13" s="40">
        <v>1.0</v>
      </c>
      <c r="CQ13" s="38" t="s">
        <v>400</v>
      </c>
      <c r="CR13" s="55">
        <v>100.0</v>
      </c>
      <c r="CS13" s="40">
        <v>0.0</v>
      </c>
      <c r="CT13" s="38" t="s">
        <v>401</v>
      </c>
      <c r="CU13" s="40">
        <v>0.0</v>
      </c>
    </row>
    <row r="14">
      <c r="A14" s="11"/>
      <c r="B14" s="6" t="s">
        <v>49</v>
      </c>
      <c r="C14" s="7" t="s">
        <v>50</v>
      </c>
      <c r="D14" s="40">
        <v>1.0</v>
      </c>
      <c r="E14" s="38" t="s">
        <v>402</v>
      </c>
      <c r="F14" s="48">
        <v>25.0</v>
      </c>
      <c r="G14" s="40">
        <v>1.0</v>
      </c>
      <c r="H14" s="38" t="s">
        <v>403</v>
      </c>
      <c r="I14" s="48">
        <v>25.0</v>
      </c>
      <c r="J14" s="40">
        <v>1.0</v>
      </c>
      <c r="K14" s="38" t="s">
        <v>404</v>
      </c>
      <c r="L14" s="48">
        <v>50.0</v>
      </c>
      <c r="M14" s="40">
        <v>1.0</v>
      </c>
      <c r="N14" s="38" t="s">
        <v>405</v>
      </c>
      <c r="O14" s="48">
        <v>25.0</v>
      </c>
      <c r="P14" s="40">
        <v>1.0</v>
      </c>
      <c r="Q14" s="38" t="s">
        <v>406</v>
      </c>
      <c r="R14" s="48">
        <v>25.0</v>
      </c>
      <c r="S14" s="40">
        <v>1.0</v>
      </c>
      <c r="T14" s="38" t="s">
        <v>407</v>
      </c>
      <c r="U14" s="48">
        <v>50.0</v>
      </c>
      <c r="V14" s="40">
        <v>1.0</v>
      </c>
      <c r="W14" s="41" t="s">
        <v>408</v>
      </c>
      <c r="X14" s="48">
        <v>25.0</v>
      </c>
      <c r="Y14" s="40">
        <v>1.0</v>
      </c>
      <c r="Z14" s="38" t="s">
        <v>409</v>
      </c>
      <c r="AA14" s="48">
        <v>25.0</v>
      </c>
      <c r="AB14" s="40">
        <v>1.0</v>
      </c>
      <c r="AC14" s="41" t="s">
        <v>410</v>
      </c>
      <c r="AD14" s="48">
        <v>25.0</v>
      </c>
      <c r="AE14" s="40">
        <v>1.0</v>
      </c>
      <c r="AF14" s="38" t="s">
        <v>411</v>
      </c>
      <c r="AG14" s="48">
        <v>25.0</v>
      </c>
      <c r="AH14" s="40">
        <v>1.0</v>
      </c>
      <c r="AI14" s="41" t="s">
        <v>412</v>
      </c>
      <c r="AJ14" s="48">
        <v>25.0</v>
      </c>
      <c r="AK14" s="40">
        <v>1.0</v>
      </c>
      <c r="AL14" s="38" t="s">
        <v>413</v>
      </c>
      <c r="AM14" s="48">
        <v>25.0</v>
      </c>
      <c r="AN14" s="40">
        <v>1.0</v>
      </c>
      <c r="AO14" s="38" t="s">
        <v>414</v>
      </c>
      <c r="AP14" s="48">
        <v>25.0</v>
      </c>
      <c r="AQ14" s="40">
        <v>1.0</v>
      </c>
      <c r="AR14" s="38" t="s">
        <v>415</v>
      </c>
      <c r="AS14" s="48">
        <v>25.0</v>
      </c>
      <c r="AT14" s="40">
        <v>1.0</v>
      </c>
      <c r="AU14" s="41" t="s">
        <v>416</v>
      </c>
      <c r="AV14" s="48">
        <v>25.0</v>
      </c>
      <c r="AW14" s="40">
        <v>1.0</v>
      </c>
      <c r="AX14" s="38" t="s">
        <v>417</v>
      </c>
      <c r="AY14" s="48">
        <v>25.0</v>
      </c>
      <c r="AZ14" s="40">
        <v>1.0</v>
      </c>
      <c r="BA14" s="38" t="s">
        <v>418</v>
      </c>
      <c r="BB14" s="48">
        <v>50.0</v>
      </c>
      <c r="BC14" s="40">
        <v>1.0</v>
      </c>
      <c r="BD14" s="38" t="s">
        <v>419</v>
      </c>
      <c r="BE14" s="48">
        <v>50.0</v>
      </c>
      <c r="BF14" s="40">
        <v>1.0</v>
      </c>
      <c r="BG14" s="38" t="s">
        <v>420</v>
      </c>
      <c r="BH14" s="48">
        <v>25.0</v>
      </c>
      <c r="BI14" s="40">
        <v>1.0</v>
      </c>
      <c r="BJ14" s="38" t="s">
        <v>421</v>
      </c>
      <c r="BK14" s="48">
        <v>25.0</v>
      </c>
      <c r="BL14" s="40">
        <v>1.0</v>
      </c>
      <c r="BM14" s="41" t="s">
        <v>422</v>
      </c>
      <c r="BN14" s="48">
        <v>25.0</v>
      </c>
      <c r="BO14" s="40">
        <v>1.0</v>
      </c>
      <c r="BP14" s="38" t="s">
        <v>423</v>
      </c>
      <c r="BQ14" s="48">
        <v>25.0</v>
      </c>
      <c r="BR14" s="40">
        <v>1.0</v>
      </c>
      <c r="BS14" s="38" t="s">
        <v>424</v>
      </c>
      <c r="BT14" s="48">
        <v>50.0</v>
      </c>
      <c r="BU14" s="40">
        <v>1.0</v>
      </c>
      <c r="BV14" s="38" t="s">
        <v>425</v>
      </c>
      <c r="BW14" s="48">
        <v>25.0</v>
      </c>
      <c r="BX14" s="40">
        <v>1.0</v>
      </c>
      <c r="BY14" s="41" t="s">
        <v>426</v>
      </c>
      <c r="BZ14" s="48">
        <v>25.0</v>
      </c>
      <c r="CA14" s="40">
        <v>1.0</v>
      </c>
      <c r="CB14" s="38" t="s">
        <v>427</v>
      </c>
      <c r="CC14" s="48">
        <v>25.0</v>
      </c>
      <c r="CD14" s="40">
        <v>1.0</v>
      </c>
      <c r="CE14" s="38" t="s">
        <v>428</v>
      </c>
      <c r="CF14" s="48">
        <v>25.0</v>
      </c>
      <c r="CG14" s="40">
        <v>1.0</v>
      </c>
      <c r="CH14" s="41" t="s">
        <v>429</v>
      </c>
      <c r="CI14" s="48">
        <v>25.0</v>
      </c>
      <c r="CJ14" s="55">
        <v>1.0</v>
      </c>
      <c r="CK14" s="38" t="s">
        <v>430</v>
      </c>
      <c r="CL14" s="48">
        <v>25.0</v>
      </c>
      <c r="CM14" s="40">
        <v>1.0</v>
      </c>
      <c r="CN14" s="38" t="s">
        <v>431</v>
      </c>
      <c r="CO14" s="48">
        <v>25.0</v>
      </c>
      <c r="CP14" s="40">
        <v>1.0</v>
      </c>
      <c r="CQ14" s="38" t="s">
        <v>432</v>
      </c>
      <c r="CR14" s="48">
        <v>25.0</v>
      </c>
      <c r="CS14" s="55">
        <v>1.0</v>
      </c>
      <c r="CT14" s="38" t="s">
        <v>433</v>
      </c>
      <c r="CU14" s="48">
        <v>25.0</v>
      </c>
    </row>
    <row r="15">
      <c r="A15" s="11"/>
      <c r="B15" s="11"/>
      <c r="C15" s="7" t="s">
        <v>434</v>
      </c>
      <c r="D15" s="40">
        <v>0.0</v>
      </c>
      <c r="E15" s="38" t="s">
        <v>435</v>
      </c>
      <c r="F15" s="11"/>
      <c r="G15" s="40">
        <v>0.0</v>
      </c>
      <c r="H15" s="38" t="s">
        <v>436</v>
      </c>
      <c r="I15" s="11"/>
      <c r="J15" s="40">
        <v>1.0</v>
      </c>
      <c r="K15" s="38" t="s">
        <v>437</v>
      </c>
      <c r="L15" s="11"/>
      <c r="M15" s="40">
        <v>0.0</v>
      </c>
      <c r="N15" s="38" t="s">
        <v>438</v>
      </c>
      <c r="O15" s="11"/>
      <c r="P15" s="40">
        <v>0.0</v>
      </c>
      <c r="Q15" s="38" t="s">
        <v>439</v>
      </c>
      <c r="R15" s="11"/>
      <c r="S15" s="55">
        <v>1.0</v>
      </c>
      <c r="T15" s="38" t="s">
        <v>440</v>
      </c>
      <c r="U15" s="11"/>
      <c r="V15" s="40">
        <v>0.0</v>
      </c>
      <c r="W15" s="41" t="s">
        <v>441</v>
      </c>
      <c r="X15" s="11"/>
      <c r="Y15" s="40">
        <v>0.0</v>
      </c>
      <c r="Z15" s="38" t="s">
        <v>442</v>
      </c>
      <c r="AA15" s="11"/>
      <c r="AB15" s="40">
        <v>0.0</v>
      </c>
      <c r="AC15" s="41" t="s">
        <v>443</v>
      </c>
      <c r="AD15" s="11"/>
      <c r="AE15" s="40">
        <v>0.0</v>
      </c>
      <c r="AF15" s="38" t="s">
        <v>444</v>
      </c>
      <c r="AG15" s="11"/>
      <c r="AH15" s="40">
        <v>0.0</v>
      </c>
      <c r="AI15" s="41" t="s">
        <v>445</v>
      </c>
      <c r="AJ15" s="11"/>
      <c r="AK15" s="40">
        <v>0.0</v>
      </c>
      <c r="AL15" s="38" t="s">
        <v>446</v>
      </c>
      <c r="AM15" s="11"/>
      <c r="AN15" s="40">
        <v>0.0</v>
      </c>
      <c r="AO15" s="38" t="s">
        <v>447</v>
      </c>
      <c r="AP15" s="11"/>
      <c r="AQ15" s="40">
        <v>0.0</v>
      </c>
      <c r="AR15" s="38" t="s">
        <v>448</v>
      </c>
      <c r="AS15" s="11"/>
      <c r="AT15" s="40">
        <v>0.0</v>
      </c>
      <c r="AU15" s="41" t="s">
        <v>449</v>
      </c>
      <c r="AV15" s="11"/>
      <c r="AW15" s="40">
        <v>0.0</v>
      </c>
      <c r="AX15" s="38" t="s">
        <v>450</v>
      </c>
      <c r="AY15" s="11"/>
      <c r="AZ15" s="40">
        <v>0.0</v>
      </c>
      <c r="BA15" s="38" t="s">
        <v>451</v>
      </c>
      <c r="BB15" s="11"/>
      <c r="BC15" s="40">
        <v>0.0</v>
      </c>
      <c r="BD15" s="38" t="s">
        <v>452</v>
      </c>
      <c r="BE15" s="11"/>
      <c r="BF15" s="40">
        <v>0.0</v>
      </c>
      <c r="BG15" s="38" t="s">
        <v>453</v>
      </c>
      <c r="BH15" s="11"/>
      <c r="BI15" s="40">
        <v>0.0</v>
      </c>
      <c r="BJ15" s="38" t="s">
        <v>454</v>
      </c>
      <c r="BK15" s="11"/>
      <c r="BL15" s="40">
        <v>0.0</v>
      </c>
      <c r="BM15" s="41" t="s">
        <v>455</v>
      </c>
      <c r="BN15" s="11"/>
      <c r="BO15" s="40">
        <v>0.0</v>
      </c>
      <c r="BP15" s="38" t="s">
        <v>456</v>
      </c>
      <c r="BQ15" s="11"/>
      <c r="BR15" s="40">
        <v>0.0</v>
      </c>
      <c r="BS15" s="38" t="s">
        <v>457</v>
      </c>
      <c r="BT15" s="11"/>
      <c r="BU15" s="40">
        <v>0.0</v>
      </c>
      <c r="BV15" s="38" t="s">
        <v>458</v>
      </c>
      <c r="BW15" s="11"/>
      <c r="BX15" s="40">
        <v>0.0</v>
      </c>
      <c r="BY15" s="41" t="s">
        <v>459</v>
      </c>
      <c r="BZ15" s="11"/>
      <c r="CA15" s="40">
        <v>0.0</v>
      </c>
      <c r="CB15" s="38" t="s">
        <v>460</v>
      </c>
      <c r="CC15" s="11"/>
      <c r="CD15" s="40">
        <v>0.0</v>
      </c>
      <c r="CE15" s="38" t="s">
        <v>461</v>
      </c>
      <c r="CF15" s="11"/>
      <c r="CG15" s="40">
        <v>0.0</v>
      </c>
      <c r="CH15" s="41" t="s">
        <v>462</v>
      </c>
      <c r="CI15" s="11"/>
      <c r="CJ15" s="40">
        <v>0.0</v>
      </c>
      <c r="CK15" s="38" t="s">
        <v>463</v>
      </c>
      <c r="CL15" s="11"/>
      <c r="CM15" s="40">
        <v>0.0</v>
      </c>
      <c r="CN15" s="38" t="s">
        <v>464</v>
      </c>
      <c r="CO15" s="11"/>
      <c r="CP15" s="40">
        <v>0.0</v>
      </c>
      <c r="CQ15" s="38" t="s">
        <v>465</v>
      </c>
      <c r="CR15" s="11"/>
      <c r="CS15" s="40">
        <v>0.0</v>
      </c>
      <c r="CT15" s="38" t="s">
        <v>466</v>
      </c>
      <c r="CU15" s="11"/>
    </row>
    <row r="16">
      <c r="A16" s="11"/>
      <c r="B16" s="11"/>
      <c r="C16" s="7" t="s">
        <v>56</v>
      </c>
      <c r="D16" s="40">
        <v>0.0</v>
      </c>
      <c r="E16" s="51"/>
      <c r="F16" s="11"/>
      <c r="G16" s="40">
        <v>0.0</v>
      </c>
      <c r="H16" s="38" t="s">
        <v>467</v>
      </c>
      <c r="I16" s="11"/>
      <c r="J16" s="40">
        <v>0.0</v>
      </c>
      <c r="K16" s="38" t="s">
        <v>468</v>
      </c>
      <c r="L16" s="11"/>
      <c r="M16" s="55">
        <v>0.0</v>
      </c>
      <c r="N16" s="38" t="s">
        <v>469</v>
      </c>
      <c r="O16" s="11"/>
      <c r="P16" s="40">
        <v>0.0</v>
      </c>
      <c r="Q16" s="38" t="s">
        <v>470</v>
      </c>
      <c r="R16" s="11"/>
      <c r="S16" s="40">
        <v>0.0</v>
      </c>
      <c r="T16" s="38" t="s">
        <v>471</v>
      </c>
      <c r="U16" s="11"/>
      <c r="V16" s="40">
        <v>0.0</v>
      </c>
      <c r="W16" s="41" t="s">
        <v>472</v>
      </c>
      <c r="X16" s="11"/>
      <c r="Y16" s="40">
        <v>0.0</v>
      </c>
      <c r="Z16" s="38" t="s">
        <v>473</v>
      </c>
      <c r="AA16" s="11"/>
      <c r="AB16" s="40">
        <v>0.0</v>
      </c>
      <c r="AC16" s="41" t="s">
        <v>474</v>
      </c>
      <c r="AD16" s="11"/>
      <c r="AE16" s="40">
        <v>0.0</v>
      </c>
      <c r="AF16" s="38" t="s">
        <v>475</v>
      </c>
      <c r="AG16" s="11"/>
      <c r="AH16" s="40">
        <v>0.0</v>
      </c>
      <c r="AI16" s="41" t="s">
        <v>476</v>
      </c>
      <c r="AJ16" s="11"/>
      <c r="AK16" s="40">
        <v>0.0</v>
      </c>
      <c r="AL16" s="38" t="s">
        <v>477</v>
      </c>
      <c r="AM16" s="11"/>
      <c r="AN16" s="40">
        <v>0.0</v>
      </c>
      <c r="AO16" s="38" t="s">
        <v>478</v>
      </c>
      <c r="AP16" s="11"/>
      <c r="AQ16" s="40">
        <v>0.0</v>
      </c>
      <c r="AR16" s="38" t="s">
        <v>479</v>
      </c>
      <c r="AS16" s="11"/>
      <c r="AT16" s="40">
        <v>0.0</v>
      </c>
      <c r="AU16" s="41" t="s">
        <v>480</v>
      </c>
      <c r="AV16" s="11"/>
      <c r="AW16" s="40">
        <v>0.0</v>
      </c>
      <c r="AX16" s="38" t="s">
        <v>481</v>
      </c>
      <c r="AY16" s="11"/>
      <c r="AZ16" s="40">
        <v>1.0</v>
      </c>
      <c r="BA16" s="38" t="s">
        <v>482</v>
      </c>
      <c r="BB16" s="11"/>
      <c r="BC16" s="40">
        <v>1.0</v>
      </c>
      <c r="BD16" s="38" t="s">
        <v>483</v>
      </c>
      <c r="BE16" s="11"/>
      <c r="BF16" s="40">
        <v>0.0</v>
      </c>
      <c r="BG16" s="38" t="s">
        <v>484</v>
      </c>
      <c r="BH16" s="11"/>
      <c r="BI16" s="40">
        <v>0.0</v>
      </c>
      <c r="BJ16" s="38" t="s">
        <v>485</v>
      </c>
      <c r="BK16" s="11"/>
      <c r="BL16" s="40">
        <v>0.0</v>
      </c>
      <c r="BM16" s="41" t="s">
        <v>486</v>
      </c>
      <c r="BN16" s="11"/>
      <c r="BO16" s="55">
        <v>0.0</v>
      </c>
      <c r="BP16" s="38" t="s">
        <v>487</v>
      </c>
      <c r="BQ16" s="11"/>
      <c r="BR16" s="40">
        <v>1.0</v>
      </c>
      <c r="BS16" s="38" t="s">
        <v>488</v>
      </c>
      <c r="BT16" s="11"/>
      <c r="BU16" s="40">
        <v>0.0</v>
      </c>
      <c r="BV16" s="38" t="s">
        <v>489</v>
      </c>
      <c r="BW16" s="11"/>
      <c r="BX16" s="40">
        <v>0.0</v>
      </c>
      <c r="BY16" s="41" t="s">
        <v>490</v>
      </c>
      <c r="BZ16" s="11"/>
      <c r="CA16" s="40">
        <v>0.0</v>
      </c>
      <c r="CB16" s="38" t="s">
        <v>491</v>
      </c>
      <c r="CC16" s="11"/>
      <c r="CD16" s="40">
        <v>0.0</v>
      </c>
      <c r="CE16" s="38" t="s">
        <v>492</v>
      </c>
      <c r="CF16" s="11"/>
      <c r="CG16" s="40">
        <v>0.0</v>
      </c>
      <c r="CH16" s="41" t="s">
        <v>493</v>
      </c>
      <c r="CI16" s="11"/>
      <c r="CJ16" s="40">
        <v>0.0</v>
      </c>
      <c r="CK16" s="38" t="s">
        <v>494</v>
      </c>
      <c r="CL16" s="11"/>
      <c r="CM16" s="40">
        <v>0.0</v>
      </c>
      <c r="CN16" s="38" t="s">
        <v>495</v>
      </c>
      <c r="CO16" s="11"/>
      <c r="CP16" s="40">
        <v>0.0</v>
      </c>
      <c r="CQ16" s="38" t="s">
        <v>496</v>
      </c>
      <c r="CR16" s="11"/>
      <c r="CS16" s="40">
        <v>0.0</v>
      </c>
      <c r="CT16" s="38" t="s">
        <v>497</v>
      </c>
      <c r="CU16" s="11"/>
    </row>
    <row r="17">
      <c r="A17" s="14"/>
      <c r="B17" s="14"/>
      <c r="C17" s="7" t="s">
        <v>59</v>
      </c>
      <c r="D17" s="40">
        <v>0.0</v>
      </c>
      <c r="E17" s="51"/>
      <c r="F17" s="14"/>
      <c r="G17" s="40">
        <v>0.0</v>
      </c>
      <c r="H17" s="51"/>
      <c r="I17" s="14"/>
      <c r="J17" s="40">
        <v>0.0</v>
      </c>
      <c r="K17" s="51"/>
      <c r="L17" s="14"/>
      <c r="M17" s="40">
        <v>0.0</v>
      </c>
      <c r="N17" s="51"/>
      <c r="O17" s="14"/>
      <c r="P17" s="40">
        <v>0.0</v>
      </c>
      <c r="Q17" s="51"/>
      <c r="R17" s="14"/>
      <c r="S17" s="40">
        <v>0.0</v>
      </c>
      <c r="T17" s="51"/>
      <c r="U17" s="14"/>
      <c r="V17" s="40">
        <v>0.0</v>
      </c>
      <c r="W17" s="43"/>
      <c r="X17" s="14"/>
      <c r="Y17" s="40">
        <v>0.0</v>
      </c>
      <c r="Z17" s="51"/>
      <c r="AA17" s="14"/>
      <c r="AB17" s="40">
        <v>0.0</v>
      </c>
      <c r="AC17" s="43"/>
      <c r="AD17" s="14"/>
      <c r="AE17" s="40">
        <v>0.0</v>
      </c>
      <c r="AF17" s="51"/>
      <c r="AG17" s="14"/>
      <c r="AH17" s="40">
        <v>0.0</v>
      </c>
      <c r="AI17" s="43"/>
      <c r="AJ17" s="14"/>
      <c r="AK17" s="40">
        <v>0.0</v>
      </c>
      <c r="AL17" s="51"/>
      <c r="AM17" s="14"/>
      <c r="AN17" s="40">
        <v>0.0</v>
      </c>
      <c r="AO17" s="51"/>
      <c r="AP17" s="14"/>
      <c r="AQ17" s="40">
        <v>0.0</v>
      </c>
      <c r="AR17" s="51"/>
      <c r="AS17" s="14"/>
      <c r="AT17" s="40">
        <v>0.0</v>
      </c>
      <c r="AU17" s="43"/>
      <c r="AV17" s="14"/>
      <c r="AW17" s="40">
        <v>0.0</v>
      </c>
      <c r="AX17" s="51"/>
      <c r="AY17" s="14"/>
      <c r="AZ17" s="40">
        <v>0.0</v>
      </c>
      <c r="BA17" s="51"/>
      <c r="BB17" s="14"/>
      <c r="BC17" s="40">
        <v>0.0</v>
      </c>
      <c r="BD17" s="51"/>
      <c r="BE17" s="14"/>
      <c r="BF17" s="40">
        <v>0.0</v>
      </c>
      <c r="BG17" s="51"/>
      <c r="BH17" s="14"/>
      <c r="BI17" s="40">
        <v>0.0</v>
      </c>
      <c r="BJ17" s="51"/>
      <c r="BK17" s="14"/>
      <c r="BL17" s="40">
        <v>0.0</v>
      </c>
      <c r="BM17" s="51"/>
      <c r="BN17" s="14"/>
      <c r="BO17" s="40">
        <v>0.0</v>
      </c>
      <c r="BP17" s="51"/>
      <c r="BQ17" s="14"/>
      <c r="BR17" s="40">
        <v>0.0</v>
      </c>
      <c r="BS17" s="51"/>
      <c r="BT17" s="14"/>
      <c r="BU17" s="40">
        <v>0.0</v>
      </c>
      <c r="BV17" s="51"/>
      <c r="BW17" s="14"/>
      <c r="BX17" s="40">
        <v>0.0</v>
      </c>
      <c r="BY17" s="43"/>
      <c r="BZ17" s="14"/>
      <c r="CA17" s="40">
        <v>0.0</v>
      </c>
      <c r="CB17" s="51"/>
      <c r="CC17" s="14"/>
      <c r="CD17" s="40">
        <v>0.0</v>
      </c>
      <c r="CE17" s="51"/>
      <c r="CF17" s="14"/>
      <c r="CG17" s="40">
        <v>0.0</v>
      </c>
      <c r="CH17" s="43"/>
      <c r="CI17" s="14"/>
      <c r="CJ17" s="40">
        <v>0.0</v>
      </c>
      <c r="CK17" s="51"/>
      <c r="CL17" s="14"/>
      <c r="CM17" s="40">
        <v>0.0</v>
      </c>
      <c r="CN17" s="51"/>
      <c r="CO17" s="14"/>
      <c r="CP17" s="40">
        <v>0.0</v>
      </c>
      <c r="CQ17" s="51"/>
      <c r="CR17" s="14"/>
      <c r="CS17" s="40">
        <v>0.0</v>
      </c>
      <c r="CT17" s="51"/>
      <c r="CU17" s="14"/>
    </row>
    <row r="18">
      <c r="A18" s="5" t="s">
        <v>62</v>
      </c>
      <c r="B18" s="6" t="s">
        <v>498</v>
      </c>
      <c r="C18" s="17" t="s">
        <v>64</v>
      </c>
      <c r="D18" s="44">
        <v>0.0</v>
      </c>
      <c r="E18" s="44"/>
      <c r="F18" s="48">
        <v>50.0</v>
      </c>
      <c r="G18" s="44">
        <v>0.0</v>
      </c>
      <c r="H18" s="44"/>
      <c r="I18" s="44">
        <v>0.0</v>
      </c>
      <c r="J18" s="44">
        <v>0.0</v>
      </c>
      <c r="K18" s="44"/>
      <c r="L18" s="44">
        <v>0.0</v>
      </c>
      <c r="M18" s="44">
        <v>0.0</v>
      </c>
      <c r="N18" s="44"/>
      <c r="O18" s="44">
        <v>0.0</v>
      </c>
      <c r="P18" s="44">
        <v>0.0</v>
      </c>
      <c r="Q18" s="56"/>
      <c r="R18" s="48">
        <v>50.0</v>
      </c>
      <c r="S18" s="44">
        <v>0.0</v>
      </c>
      <c r="T18" s="57" t="s">
        <v>499</v>
      </c>
      <c r="U18" s="48">
        <v>50.0</v>
      </c>
      <c r="V18" s="44">
        <v>0.0</v>
      </c>
      <c r="W18" s="44"/>
      <c r="X18" s="44">
        <v>0.0</v>
      </c>
      <c r="Y18" s="44">
        <v>0.0</v>
      </c>
      <c r="Z18" s="56"/>
      <c r="AA18" s="48">
        <v>50.0</v>
      </c>
      <c r="AB18" s="44">
        <v>0.0</v>
      </c>
      <c r="AC18" s="58"/>
      <c r="AD18" s="44">
        <v>0.0</v>
      </c>
      <c r="AE18" s="44">
        <v>0.0</v>
      </c>
      <c r="AF18" s="56"/>
      <c r="AG18" s="48">
        <v>50.0</v>
      </c>
      <c r="AH18" s="44">
        <v>0.0</v>
      </c>
      <c r="AI18" s="58"/>
      <c r="AJ18" s="48">
        <v>50.0</v>
      </c>
      <c r="AK18" s="44">
        <v>0.0</v>
      </c>
      <c r="AL18" s="57" t="s">
        <v>500</v>
      </c>
      <c r="AM18" s="48">
        <v>50.0</v>
      </c>
      <c r="AN18" s="48">
        <v>0.0</v>
      </c>
      <c r="AO18" s="59"/>
      <c r="AP18" s="48">
        <v>50.0</v>
      </c>
      <c r="AQ18" s="44">
        <v>1.0</v>
      </c>
      <c r="AR18" s="60" t="s">
        <v>501</v>
      </c>
      <c r="AS18" s="48">
        <v>100.0</v>
      </c>
      <c r="AT18" s="44">
        <v>0.0</v>
      </c>
      <c r="AU18" s="58"/>
      <c r="AV18" s="48">
        <v>50.0</v>
      </c>
      <c r="AW18" s="44">
        <v>0.0</v>
      </c>
      <c r="AX18" s="57" t="s">
        <v>502</v>
      </c>
      <c r="AY18" s="48">
        <v>50.0</v>
      </c>
      <c r="AZ18" s="48">
        <v>0.0</v>
      </c>
      <c r="BA18" s="59"/>
      <c r="BB18" s="48">
        <v>50.0</v>
      </c>
      <c r="BC18" s="48">
        <v>0.0</v>
      </c>
      <c r="BD18" s="59"/>
      <c r="BE18" s="48">
        <v>50.0</v>
      </c>
      <c r="BF18" s="48">
        <v>0.0</v>
      </c>
      <c r="BG18" s="59"/>
      <c r="BH18" s="48">
        <v>50.0</v>
      </c>
      <c r="BI18" s="44">
        <v>0.0</v>
      </c>
      <c r="BJ18" s="56"/>
      <c r="BK18" s="44">
        <v>0.0</v>
      </c>
      <c r="BL18" s="44">
        <v>0.0</v>
      </c>
      <c r="BM18" s="44"/>
      <c r="BN18" s="44">
        <v>0.0</v>
      </c>
      <c r="BO18" s="44">
        <v>0.0</v>
      </c>
      <c r="BP18" s="56"/>
      <c r="BQ18" s="48">
        <v>50.0</v>
      </c>
      <c r="BR18" s="44">
        <v>0.0</v>
      </c>
      <c r="BS18" s="56"/>
      <c r="BT18" s="48">
        <v>50.0</v>
      </c>
      <c r="BU18" s="44">
        <v>0.0</v>
      </c>
      <c r="BV18" s="56"/>
      <c r="BW18" s="48">
        <v>50.0</v>
      </c>
      <c r="BX18" s="44">
        <v>0.0</v>
      </c>
      <c r="BY18" s="58"/>
      <c r="BZ18" s="44">
        <v>0.0</v>
      </c>
      <c r="CA18" s="48">
        <v>0.0</v>
      </c>
      <c r="CB18" s="59"/>
      <c r="CC18" s="48">
        <v>50.0</v>
      </c>
      <c r="CD18" s="48">
        <v>1.0</v>
      </c>
      <c r="CE18" s="60" t="s">
        <v>503</v>
      </c>
      <c r="CF18" s="48">
        <v>50.0</v>
      </c>
      <c r="CG18" s="44">
        <v>0.0</v>
      </c>
      <c r="CH18" s="58"/>
      <c r="CI18" s="48">
        <v>50.0</v>
      </c>
      <c r="CJ18" s="44">
        <v>0.0</v>
      </c>
      <c r="CK18" s="57" t="s">
        <v>504</v>
      </c>
      <c r="CL18" s="48">
        <v>50.0</v>
      </c>
      <c r="CM18" s="44">
        <v>0.0</v>
      </c>
      <c r="CN18" s="57" t="s">
        <v>505</v>
      </c>
      <c r="CO18" s="44">
        <v>0.0</v>
      </c>
      <c r="CP18" s="44">
        <v>0.0</v>
      </c>
      <c r="CQ18" s="57" t="s">
        <v>506</v>
      </c>
      <c r="CR18" s="48">
        <v>50.0</v>
      </c>
      <c r="CS18" s="48">
        <v>1.0</v>
      </c>
      <c r="CT18" s="60" t="s">
        <v>507</v>
      </c>
      <c r="CU18" s="48">
        <v>100.0</v>
      </c>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9"/>
      <c r="AD19" s="11"/>
      <c r="AE19" s="11"/>
      <c r="AF19" s="11"/>
      <c r="AG19" s="11"/>
      <c r="AH19" s="11"/>
      <c r="AI19" s="19"/>
      <c r="AJ19" s="11"/>
      <c r="AK19" s="11"/>
      <c r="AL19" s="11"/>
      <c r="AM19" s="11"/>
      <c r="AN19" s="11"/>
      <c r="AO19" s="11"/>
      <c r="AP19" s="11"/>
      <c r="AQ19" s="11"/>
      <c r="AR19" s="11"/>
      <c r="AS19" s="11"/>
      <c r="AT19" s="11"/>
      <c r="AU19" s="19"/>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9"/>
      <c r="BZ19" s="11"/>
      <c r="CA19" s="11"/>
      <c r="CB19" s="11"/>
      <c r="CC19" s="11"/>
      <c r="CD19" s="11"/>
      <c r="CE19" s="11"/>
      <c r="CF19" s="11"/>
      <c r="CG19" s="11"/>
      <c r="CH19" s="19"/>
      <c r="CI19" s="11"/>
      <c r="CJ19" s="11"/>
      <c r="CK19" s="11"/>
      <c r="CL19" s="11"/>
      <c r="CM19" s="11"/>
      <c r="CN19" s="11"/>
      <c r="CO19" s="11"/>
      <c r="CP19" s="11"/>
      <c r="CQ19" s="11"/>
      <c r="CR19" s="11"/>
      <c r="CS19" s="11"/>
      <c r="CT19" s="11"/>
      <c r="CU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9"/>
      <c r="AD20" s="11"/>
      <c r="AE20" s="11"/>
      <c r="AF20" s="11"/>
      <c r="AG20" s="11"/>
      <c r="AH20" s="11"/>
      <c r="AI20" s="19"/>
      <c r="AJ20" s="11"/>
      <c r="AK20" s="11"/>
      <c r="AL20" s="11"/>
      <c r="AM20" s="11"/>
      <c r="AN20" s="11"/>
      <c r="AO20" s="11"/>
      <c r="AP20" s="11"/>
      <c r="AQ20" s="11"/>
      <c r="AR20" s="11"/>
      <c r="AS20" s="11"/>
      <c r="AT20" s="11"/>
      <c r="AU20" s="19"/>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9"/>
      <c r="BZ20" s="11"/>
      <c r="CA20" s="11"/>
      <c r="CB20" s="11"/>
      <c r="CC20" s="11"/>
      <c r="CD20" s="11"/>
      <c r="CE20" s="11"/>
      <c r="CF20" s="11"/>
      <c r="CG20" s="11"/>
      <c r="CH20" s="19"/>
      <c r="CI20" s="11"/>
      <c r="CJ20" s="11"/>
      <c r="CK20" s="11"/>
      <c r="CL20" s="11"/>
      <c r="CM20" s="11"/>
      <c r="CN20" s="11"/>
      <c r="CO20" s="11"/>
      <c r="CP20" s="11"/>
      <c r="CQ20" s="11"/>
      <c r="CR20" s="11"/>
      <c r="CS20" s="11"/>
      <c r="CT20" s="11"/>
      <c r="CU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9"/>
      <c r="AD21" s="11"/>
      <c r="AE21" s="11"/>
      <c r="AF21" s="11"/>
      <c r="AG21" s="11"/>
      <c r="AH21" s="11"/>
      <c r="AI21" s="19"/>
      <c r="AJ21" s="11"/>
      <c r="AK21" s="11"/>
      <c r="AL21" s="11"/>
      <c r="AM21" s="11"/>
      <c r="AN21" s="11"/>
      <c r="AO21" s="11"/>
      <c r="AP21" s="11"/>
      <c r="AQ21" s="11"/>
      <c r="AR21" s="11"/>
      <c r="AS21" s="11"/>
      <c r="AT21" s="11"/>
      <c r="AU21" s="19"/>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9"/>
      <c r="BZ21" s="11"/>
      <c r="CA21" s="11"/>
      <c r="CB21" s="11"/>
      <c r="CC21" s="11"/>
      <c r="CD21" s="11"/>
      <c r="CE21" s="11"/>
      <c r="CF21" s="11"/>
      <c r="CG21" s="11"/>
      <c r="CH21" s="19"/>
      <c r="CI21" s="11"/>
      <c r="CJ21" s="11"/>
      <c r="CK21" s="11"/>
      <c r="CL21" s="11"/>
      <c r="CM21" s="11"/>
      <c r="CN21" s="11"/>
      <c r="CO21" s="11"/>
      <c r="CP21" s="11"/>
      <c r="CQ21" s="11"/>
      <c r="CR21" s="11"/>
      <c r="CS21" s="11"/>
      <c r="CT21" s="11"/>
      <c r="CU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9"/>
      <c r="AD22" s="11"/>
      <c r="AE22" s="11"/>
      <c r="AF22" s="11"/>
      <c r="AG22" s="11"/>
      <c r="AH22" s="11"/>
      <c r="AI22" s="19"/>
      <c r="AJ22" s="11"/>
      <c r="AK22" s="11"/>
      <c r="AL22" s="11"/>
      <c r="AM22" s="11"/>
      <c r="AN22" s="11"/>
      <c r="AO22" s="11"/>
      <c r="AP22" s="11"/>
      <c r="AQ22" s="11"/>
      <c r="AR22" s="11"/>
      <c r="AS22" s="11"/>
      <c r="AT22" s="11"/>
      <c r="AU22" s="19"/>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9"/>
      <c r="BZ22" s="11"/>
      <c r="CA22" s="11"/>
      <c r="CB22" s="11"/>
      <c r="CC22" s="11"/>
      <c r="CD22" s="11"/>
      <c r="CE22" s="11"/>
      <c r="CF22" s="11"/>
      <c r="CG22" s="11"/>
      <c r="CH22" s="19"/>
      <c r="CI22" s="11"/>
      <c r="CJ22" s="11"/>
      <c r="CK22" s="11"/>
      <c r="CL22" s="11"/>
      <c r="CM22" s="11"/>
      <c r="CN22" s="11"/>
      <c r="CO22" s="11"/>
      <c r="CP22" s="11"/>
      <c r="CQ22" s="11"/>
      <c r="CR22" s="11"/>
      <c r="CS22" s="11"/>
      <c r="CT22" s="11"/>
      <c r="CU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9"/>
      <c r="AD23" s="11"/>
      <c r="AE23" s="11"/>
      <c r="AF23" s="11"/>
      <c r="AG23" s="11"/>
      <c r="AH23" s="11"/>
      <c r="AI23" s="19"/>
      <c r="AJ23" s="11"/>
      <c r="AK23" s="11"/>
      <c r="AL23" s="11"/>
      <c r="AM23" s="11"/>
      <c r="AN23" s="11"/>
      <c r="AO23" s="11"/>
      <c r="AP23" s="11"/>
      <c r="AQ23" s="11"/>
      <c r="AR23" s="11"/>
      <c r="AS23" s="11"/>
      <c r="AT23" s="11"/>
      <c r="AU23" s="19"/>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9"/>
      <c r="BZ23" s="11"/>
      <c r="CA23" s="11"/>
      <c r="CB23" s="11"/>
      <c r="CC23" s="11"/>
      <c r="CD23" s="11"/>
      <c r="CE23" s="11"/>
      <c r="CF23" s="11"/>
      <c r="CG23" s="11"/>
      <c r="CH23" s="19"/>
      <c r="CI23" s="11"/>
      <c r="CJ23" s="11"/>
      <c r="CK23" s="11"/>
      <c r="CL23" s="11"/>
      <c r="CM23" s="11"/>
      <c r="CN23" s="11"/>
      <c r="CO23" s="11"/>
      <c r="CP23" s="11"/>
      <c r="CQ23" s="11"/>
      <c r="CR23" s="11"/>
      <c r="CS23" s="11"/>
      <c r="CT23" s="11"/>
      <c r="CU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9"/>
      <c r="AD24" s="11"/>
      <c r="AE24" s="11"/>
      <c r="AF24" s="11"/>
      <c r="AG24" s="11"/>
      <c r="AH24" s="11"/>
      <c r="AI24" s="19"/>
      <c r="AJ24" s="11"/>
      <c r="AK24" s="11"/>
      <c r="AL24" s="11"/>
      <c r="AM24" s="11"/>
      <c r="AN24" s="11"/>
      <c r="AO24" s="11"/>
      <c r="AP24" s="11"/>
      <c r="AQ24" s="11"/>
      <c r="AR24" s="11"/>
      <c r="AS24" s="11"/>
      <c r="AT24" s="11"/>
      <c r="AU24" s="19"/>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9"/>
      <c r="BZ24" s="11"/>
      <c r="CA24" s="11"/>
      <c r="CB24" s="11"/>
      <c r="CC24" s="11"/>
      <c r="CD24" s="11"/>
      <c r="CE24" s="11"/>
      <c r="CF24" s="11"/>
      <c r="CG24" s="11"/>
      <c r="CH24" s="19"/>
      <c r="CI24" s="11"/>
      <c r="CJ24" s="11"/>
      <c r="CK24" s="11"/>
      <c r="CL24" s="11"/>
      <c r="CM24" s="11"/>
      <c r="CN24" s="11"/>
      <c r="CO24" s="11"/>
      <c r="CP24" s="11"/>
      <c r="CQ24" s="11"/>
      <c r="CR24" s="11"/>
      <c r="CS24" s="11"/>
      <c r="CT24" s="11"/>
      <c r="CU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9"/>
      <c r="AD25" s="11"/>
      <c r="AE25" s="11"/>
      <c r="AF25" s="11"/>
      <c r="AG25" s="11"/>
      <c r="AH25" s="11"/>
      <c r="AI25" s="19"/>
      <c r="AJ25" s="11"/>
      <c r="AK25" s="11"/>
      <c r="AL25" s="11"/>
      <c r="AM25" s="11"/>
      <c r="AN25" s="11"/>
      <c r="AO25" s="11"/>
      <c r="AP25" s="11"/>
      <c r="AQ25" s="11"/>
      <c r="AR25" s="11"/>
      <c r="AS25" s="11"/>
      <c r="AT25" s="11"/>
      <c r="AU25" s="19"/>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9"/>
      <c r="BZ25" s="11"/>
      <c r="CA25" s="11"/>
      <c r="CB25" s="11"/>
      <c r="CC25" s="11"/>
      <c r="CD25" s="11"/>
      <c r="CE25" s="11"/>
      <c r="CF25" s="11"/>
      <c r="CG25" s="11"/>
      <c r="CH25" s="19"/>
      <c r="CI25" s="11"/>
      <c r="CJ25" s="11"/>
      <c r="CK25" s="11"/>
      <c r="CL25" s="11"/>
      <c r="CM25" s="11"/>
      <c r="CN25" s="11"/>
      <c r="CO25" s="11"/>
      <c r="CP25" s="11"/>
      <c r="CQ25" s="11"/>
      <c r="CR25" s="11"/>
      <c r="CS25" s="11"/>
      <c r="CT25" s="11"/>
      <c r="CU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9"/>
      <c r="AD26" s="11"/>
      <c r="AE26" s="11"/>
      <c r="AF26" s="11"/>
      <c r="AG26" s="11"/>
      <c r="AH26" s="11"/>
      <c r="AI26" s="19"/>
      <c r="AJ26" s="11"/>
      <c r="AK26" s="11"/>
      <c r="AL26" s="11"/>
      <c r="AM26" s="11"/>
      <c r="AN26" s="11"/>
      <c r="AO26" s="11"/>
      <c r="AP26" s="11"/>
      <c r="AQ26" s="11"/>
      <c r="AR26" s="11"/>
      <c r="AS26" s="11"/>
      <c r="AT26" s="11"/>
      <c r="AU26" s="19"/>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9"/>
      <c r="BZ26" s="11"/>
      <c r="CA26" s="11"/>
      <c r="CB26" s="11"/>
      <c r="CC26" s="11"/>
      <c r="CD26" s="11"/>
      <c r="CE26" s="11"/>
      <c r="CF26" s="11"/>
      <c r="CG26" s="11"/>
      <c r="CH26" s="19"/>
      <c r="CI26" s="11"/>
      <c r="CJ26" s="11"/>
      <c r="CK26" s="11"/>
      <c r="CL26" s="11"/>
      <c r="CM26" s="11"/>
      <c r="CN26" s="11"/>
      <c r="CO26" s="11"/>
      <c r="CP26" s="11"/>
      <c r="CQ26" s="11"/>
      <c r="CR26" s="11"/>
      <c r="CS26" s="11"/>
      <c r="CT26" s="11"/>
      <c r="CU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9"/>
      <c r="AD27" s="11"/>
      <c r="AE27" s="11"/>
      <c r="AF27" s="11"/>
      <c r="AG27" s="11"/>
      <c r="AH27" s="11"/>
      <c r="AI27" s="19"/>
      <c r="AJ27" s="11"/>
      <c r="AK27" s="11"/>
      <c r="AL27" s="11"/>
      <c r="AM27" s="11"/>
      <c r="AN27" s="11"/>
      <c r="AO27" s="11"/>
      <c r="AP27" s="11"/>
      <c r="AQ27" s="11"/>
      <c r="AR27" s="11"/>
      <c r="AS27" s="11"/>
      <c r="AT27" s="11"/>
      <c r="AU27" s="19"/>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9"/>
      <c r="BZ27" s="11"/>
      <c r="CA27" s="11"/>
      <c r="CB27" s="11"/>
      <c r="CC27" s="11"/>
      <c r="CD27" s="11"/>
      <c r="CE27" s="11"/>
      <c r="CF27" s="11"/>
      <c r="CG27" s="11"/>
      <c r="CH27" s="19"/>
      <c r="CI27" s="11"/>
      <c r="CJ27" s="11"/>
      <c r="CK27" s="11"/>
      <c r="CL27" s="11"/>
      <c r="CM27" s="11"/>
      <c r="CN27" s="11"/>
      <c r="CO27" s="11"/>
      <c r="CP27" s="11"/>
      <c r="CQ27" s="11"/>
      <c r="CR27" s="11"/>
      <c r="CS27" s="11"/>
      <c r="CT27" s="11"/>
      <c r="CU27" s="11"/>
    </row>
    <row r="28">
      <c r="A28" s="11"/>
      <c r="B28" s="11"/>
      <c r="C28" s="14"/>
      <c r="D28" s="14"/>
      <c r="E28" s="14"/>
      <c r="F28" s="11"/>
      <c r="G28" s="14"/>
      <c r="H28" s="14"/>
      <c r="I28" s="11"/>
      <c r="J28" s="14"/>
      <c r="K28" s="14"/>
      <c r="L28" s="11"/>
      <c r="M28" s="14"/>
      <c r="N28" s="14"/>
      <c r="O28" s="11"/>
      <c r="P28" s="14"/>
      <c r="Q28" s="14"/>
      <c r="R28" s="11"/>
      <c r="S28" s="14"/>
      <c r="T28" s="14"/>
      <c r="U28" s="11"/>
      <c r="V28" s="14"/>
      <c r="W28" s="14"/>
      <c r="X28" s="11"/>
      <c r="Y28" s="14"/>
      <c r="Z28" s="14"/>
      <c r="AA28" s="11"/>
      <c r="AB28" s="14"/>
      <c r="AC28" s="20"/>
      <c r="AD28" s="11"/>
      <c r="AE28" s="14"/>
      <c r="AF28" s="14"/>
      <c r="AG28" s="11"/>
      <c r="AH28" s="14"/>
      <c r="AI28" s="20"/>
      <c r="AJ28" s="11"/>
      <c r="AK28" s="14"/>
      <c r="AL28" s="14"/>
      <c r="AM28" s="11"/>
      <c r="AN28" s="14"/>
      <c r="AO28" s="14"/>
      <c r="AP28" s="11"/>
      <c r="AQ28" s="14"/>
      <c r="AR28" s="14"/>
      <c r="AS28" s="11"/>
      <c r="AT28" s="14"/>
      <c r="AU28" s="20"/>
      <c r="AV28" s="11"/>
      <c r="AW28" s="14"/>
      <c r="AX28" s="14"/>
      <c r="AY28" s="11"/>
      <c r="AZ28" s="14"/>
      <c r="BA28" s="14"/>
      <c r="BB28" s="11"/>
      <c r="BC28" s="14"/>
      <c r="BD28" s="14"/>
      <c r="BE28" s="11"/>
      <c r="BF28" s="14"/>
      <c r="BG28" s="14"/>
      <c r="BH28" s="11"/>
      <c r="BI28" s="14"/>
      <c r="BJ28" s="14"/>
      <c r="BK28" s="11"/>
      <c r="BL28" s="14"/>
      <c r="BM28" s="14"/>
      <c r="BN28" s="11"/>
      <c r="BO28" s="14"/>
      <c r="BP28" s="14"/>
      <c r="BQ28" s="11"/>
      <c r="BR28" s="14"/>
      <c r="BS28" s="14"/>
      <c r="BT28" s="11"/>
      <c r="BU28" s="14"/>
      <c r="BV28" s="14"/>
      <c r="BW28" s="11"/>
      <c r="BX28" s="14"/>
      <c r="BY28" s="20"/>
      <c r="BZ28" s="11"/>
      <c r="CA28" s="14"/>
      <c r="CB28" s="14"/>
      <c r="CC28" s="11"/>
      <c r="CD28" s="14"/>
      <c r="CE28" s="14"/>
      <c r="CF28" s="11"/>
      <c r="CG28" s="14"/>
      <c r="CH28" s="20"/>
      <c r="CI28" s="11"/>
      <c r="CJ28" s="14"/>
      <c r="CK28" s="14"/>
      <c r="CL28" s="11"/>
      <c r="CM28" s="14"/>
      <c r="CN28" s="14"/>
      <c r="CO28" s="11"/>
      <c r="CP28" s="14"/>
      <c r="CQ28" s="14"/>
      <c r="CR28" s="11"/>
      <c r="CS28" s="14"/>
      <c r="CT28" s="14"/>
      <c r="CU28" s="11"/>
    </row>
    <row r="29">
      <c r="A29" s="11"/>
      <c r="B29" s="14"/>
      <c r="C29" s="7" t="s">
        <v>68</v>
      </c>
      <c r="D29" s="40">
        <v>1.0</v>
      </c>
      <c r="E29" s="61" t="s">
        <v>508</v>
      </c>
      <c r="F29" s="14"/>
      <c r="G29" s="40">
        <v>0.0</v>
      </c>
      <c r="H29" s="40"/>
      <c r="I29" s="14"/>
      <c r="J29" s="40">
        <v>0.0</v>
      </c>
      <c r="K29" s="40"/>
      <c r="L29" s="14"/>
      <c r="M29" s="40">
        <v>0.0</v>
      </c>
      <c r="N29" s="40"/>
      <c r="O29" s="14"/>
      <c r="P29" s="40">
        <v>1.0</v>
      </c>
      <c r="Q29" s="38" t="s">
        <v>509</v>
      </c>
      <c r="R29" s="14"/>
      <c r="S29" s="40">
        <v>1.0</v>
      </c>
      <c r="T29" s="38" t="s">
        <v>510</v>
      </c>
      <c r="U29" s="14"/>
      <c r="V29" s="40">
        <v>0.0</v>
      </c>
      <c r="W29" s="40"/>
      <c r="X29" s="14"/>
      <c r="Y29" s="40">
        <v>1.0</v>
      </c>
      <c r="Z29" s="38" t="s">
        <v>511</v>
      </c>
      <c r="AA29" s="14"/>
      <c r="AB29" s="40">
        <v>0.0</v>
      </c>
      <c r="AC29" s="41" t="s">
        <v>512</v>
      </c>
      <c r="AD29" s="14"/>
      <c r="AE29" s="40">
        <v>1.0</v>
      </c>
      <c r="AF29" s="38" t="s">
        <v>513</v>
      </c>
      <c r="AG29" s="14"/>
      <c r="AH29" s="40">
        <v>1.0</v>
      </c>
      <c r="AI29" s="41" t="s">
        <v>514</v>
      </c>
      <c r="AJ29" s="14"/>
      <c r="AK29" s="40">
        <v>1.0</v>
      </c>
      <c r="AL29" s="38" t="s">
        <v>515</v>
      </c>
      <c r="AM29" s="14"/>
      <c r="AN29" s="40">
        <v>1.0</v>
      </c>
      <c r="AO29" s="47" t="s">
        <v>516</v>
      </c>
      <c r="AP29" s="14"/>
      <c r="AQ29" s="40">
        <v>1.0</v>
      </c>
      <c r="AR29" s="47" t="s">
        <v>517</v>
      </c>
      <c r="AS29" s="14"/>
      <c r="AT29" s="40">
        <v>1.0</v>
      </c>
      <c r="AU29" s="41" t="s">
        <v>518</v>
      </c>
      <c r="AV29" s="14"/>
      <c r="AW29" s="40">
        <v>1.0</v>
      </c>
      <c r="AX29" s="38" t="s">
        <v>519</v>
      </c>
      <c r="AY29" s="14"/>
      <c r="AZ29" s="40">
        <v>1.0</v>
      </c>
      <c r="BA29" s="47" t="s">
        <v>520</v>
      </c>
      <c r="BB29" s="14"/>
      <c r="BC29" s="40">
        <v>1.0</v>
      </c>
      <c r="BD29" s="47" t="s">
        <v>521</v>
      </c>
      <c r="BE29" s="14"/>
      <c r="BF29" s="40">
        <v>1.0</v>
      </c>
      <c r="BG29" s="47" t="s">
        <v>522</v>
      </c>
      <c r="BH29" s="14"/>
      <c r="BI29" s="40">
        <v>0.0</v>
      </c>
      <c r="BJ29" s="38" t="s">
        <v>523</v>
      </c>
      <c r="BK29" s="14"/>
      <c r="BL29" s="40">
        <v>0.0</v>
      </c>
      <c r="BM29" s="40"/>
      <c r="BN29" s="14"/>
      <c r="BO29" s="40">
        <v>1.0</v>
      </c>
      <c r="BP29" s="38" t="s">
        <v>524</v>
      </c>
      <c r="BQ29" s="14"/>
      <c r="BR29" s="40">
        <v>1.0</v>
      </c>
      <c r="BS29" s="38" t="s">
        <v>525</v>
      </c>
      <c r="BT29" s="14"/>
      <c r="BU29" s="40">
        <v>1.0</v>
      </c>
      <c r="BV29" s="38" t="s">
        <v>526</v>
      </c>
      <c r="BW29" s="14"/>
      <c r="BX29" s="40">
        <v>0.0</v>
      </c>
      <c r="BY29" s="41" t="s">
        <v>527</v>
      </c>
      <c r="BZ29" s="14"/>
      <c r="CA29" s="40">
        <v>1.0</v>
      </c>
      <c r="CB29" s="47" t="s">
        <v>528</v>
      </c>
      <c r="CC29" s="14"/>
      <c r="CD29" s="40">
        <v>0.0</v>
      </c>
      <c r="CE29" s="47" t="s">
        <v>529</v>
      </c>
      <c r="CF29" s="14"/>
      <c r="CG29" s="40">
        <v>1.0</v>
      </c>
      <c r="CH29" s="41" t="s">
        <v>530</v>
      </c>
      <c r="CI29" s="14"/>
      <c r="CJ29" s="40">
        <v>1.0</v>
      </c>
      <c r="CK29" s="38" t="s">
        <v>531</v>
      </c>
      <c r="CL29" s="14"/>
      <c r="CM29" s="40">
        <v>0.0</v>
      </c>
      <c r="CN29" s="38" t="s">
        <v>532</v>
      </c>
      <c r="CO29" s="14"/>
      <c r="CP29" s="40">
        <v>1.0</v>
      </c>
      <c r="CQ29" s="38" t="s">
        <v>533</v>
      </c>
      <c r="CR29" s="14"/>
      <c r="CS29" s="40">
        <v>1.0</v>
      </c>
      <c r="CT29" s="47" t="s">
        <v>534</v>
      </c>
      <c r="CU29" s="14"/>
    </row>
    <row r="30">
      <c r="A30" s="11"/>
      <c r="B30" s="6" t="s">
        <v>71</v>
      </c>
      <c r="C30" s="17" t="s">
        <v>535</v>
      </c>
      <c r="D30" s="44">
        <v>0.0</v>
      </c>
      <c r="E30" s="57" t="s">
        <v>536</v>
      </c>
      <c r="F30" s="44">
        <v>0.0</v>
      </c>
      <c r="G30" s="44">
        <v>0.0</v>
      </c>
      <c r="H30" s="57" t="s">
        <v>537</v>
      </c>
      <c r="I30" s="44">
        <v>0.0</v>
      </c>
      <c r="J30" s="44">
        <v>0.0</v>
      </c>
      <c r="K30" s="44"/>
      <c r="L30" s="44">
        <v>0.0</v>
      </c>
      <c r="M30" s="44">
        <v>0.0</v>
      </c>
      <c r="N30" s="57" t="s">
        <v>538</v>
      </c>
      <c r="O30" s="44">
        <v>0.0</v>
      </c>
      <c r="P30" s="44">
        <v>0.0</v>
      </c>
      <c r="Q30" s="57" t="s">
        <v>539</v>
      </c>
      <c r="R30" s="44">
        <v>0.0</v>
      </c>
      <c r="S30" s="44">
        <v>0.0</v>
      </c>
      <c r="T30" s="56"/>
      <c r="U30" s="44">
        <v>0.0</v>
      </c>
      <c r="V30" s="44">
        <v>0.0</v>
      </c>
      <c r="W30" s="62" t="s">
        <v>540</v>
      </c>
      <c r="X30" s="44">
        <v>0.0</v>
      </c>
      <c r="Y30" s="44">
        <v>0.0</v>
      </c>
      <c r="Z30" s="57" t="s">
        <v>541</v>
      </c>
      <c r="AA30" s="44">
        <v>0.0</v>
      </c>
      <c r="AB30" s="44">
        <v>0.0</v>
      </c>
      <c r="AC30" s="62" t="s">
        <v>542</v>
      </c>
      <c r="AD30" s="44">
        <v>0.0</v>
      </c>
      <c r="AE30" s="44">
        <v>0.0</v>
      </c>
      <c r="AF30" s="57" t="s">
        <v>543</v>
      </c>
      <c r="AG30" s="44">
        <v>0.0</v>
      </c>
      <c r="AH30" s="44">
        <v>0.0</v>
      </c>
      <c r="AI30" s="62" t="s">
        <v>544</v>
      </c>
      <c r="AJ30" s="44">
        <v>0.0</v>
      </c>
      <c r="AK30" s="44">
        <v>0.0</v>
      </c>
      <c r="AL30" s="57" t="s">
        <v>545</v>
      </c>
      <c r="AM30" s="44">
        <v>0.0</v>
      </c>
      <c r="AN30" s="44">
        <v>0.0</v>
      </c>
      <c r="AO30" s="56"/>
      <c r="AP30" s="44">
        <v>0.0</v>
      </c>
      <c r="AQ30" s="44">
        <v>0.0</v>
      </c>
      <c r="AR30" s="57" t="s">
        <v>546</v>
      </c>
      <c r="AS30" s="44">
        <v>0.0</v>
      </c>
      <c r="AT30" s="44">
        <v>0.0</v>
      </c>
      <c r="AU30" s="62" t="s">
        <v>547</v>
      </c>
      <c r="AV30" s="44">
        <v>0.0</v>
      </c>
      <c r="AW30" s="44">
        <v>0.0</v>
      </c>
      <c r="AX30" s="57" t="s">
        <v>548</v>
      </c>
      <c r="AY30" s="44">
        <v>0.0</v>
      </c>
      <c r="AZ30" s="44">
        <v>0.0</v>
      </c>
      <c r="BA30" s="56"/>
      <c r="BB30" s="44">
        <v>0.0</v>
      </c>
      <c r="BC30" s="44">
        <v>0.0</v>
      </c>
      <c r="BD30" s="57" t="s">
        <v>549</v>
      </c>
      <c r="BE30" s="44">
        <v>0.0</v>
      </c>
      <c r="BF30" s="44">
        <v>0.0</v>
      </c>
      <c r="BG30" s="57" t="s">
        <v>550</v>
      </c>
      <c r="BH30" s="44">
        <v>0.0</v>
      </c>
      <c r="BI30" s="44">
        <v>0.0</v>
      </c>
      <c r="BJ30" s="57" t="s">
        <v>551</v>
      </c>
      <c r="BK30" s="44">
        <v>0.0</v>
      </c>
      <c r="BL30" s="44">
        <v>0.0</v>
      </c>
      <c r="BM30" s="62" t="s">
        <v>552</v>
      </c>
      <c r="BN30" s="44">
        <v>0.0</v>
      </c>
      <c r="BO30" s="44">
        <v>0.0</v>
      </c>
      <c r="BP30" s="57" t="s">
        <v>553</v>
      </c>
      <c r="BQ30" s="44">
        <v>0.0</v>
      </c>
      <c r="BR30" s="44">
        <v>0.0</v>
      </c>
      <c r="BS30" s="57" t="s">
        <v>554</v>
      </c>
      <c r="BT30" s="44">
        <v>0.0</v>
      </c>
      <c r="BU30" s="44">
        <v>0.0</v>
      </c>
      <c r="BV30" s="57" t="s">
        <v>555</v>
      </c>
      <c r="BW30" s="44">
        <v>0.0</v>
      </c>
      <c r="BX30" s="44">
        <v>0.0</v>
      </c>
      <c r="BY30" s="62" t="s">
        <v>556</v>
      </c>
      <c r="BZ30" s="44">
        <v>0.0</v>
      </c>
      <c r="CA30" s="44">
        <v>0.0</v>
      </c>
      <c r="CB30" s="57" t="s">
        <v>557</v>
      </c>
      <c r="CC30" s="44">
        <v>0.0</v>
      </c>
      <c r="CD30" s="44">
        <v>0.0</v>
      </c>
      <c r="CE30" s="57" t="s">
        <v>558</v>
      </c>
      <c r="CF30" s="44">
        <v>0.0</v>
      </c>
      <c r="CG30" s="44">
        <v>0.0</v>
      </c>
      <c r="CH30" s="62" t="s">
        <v>559</v>
      </c>
      <c r="CI30" s="44">
        <v>0.0</v>
      </c>
      <c r="CJ30" s="44">
        <v>0.0</v>
      </c>
      <c r="CK30" s="57" t="s">
        <v>560</v>
      </c>
      <c r="CL30" s="44">
        <v>0.0</v>
      </c>
      <c r="CM30" s="44">
        <v>0.0</v>
      </c>
      <c r="CN30" s="57" t="s">
        <v>561</v>
      </c>
      <c r="CO30" s="44">
        <v>0.0</v>
      </c>
      <c r="CP30" s="44">
        <v>0.0</v>
      </c>
      <c r="CQ30" s="57" t="s">
        <v>562</v>
      </c>
      <c r="CR30" s="44">
        <v>0.0</v>
      </c>
      <c r="CS30" s="44">
        <v>0.0</v>
      </c>
      <c r="CT30" s="57" t="s">
        <v>563</v>
      </c>
      <c r="CU30" s="44">
        <v>0.0</v>
      </c>
    </row>
    <row r="31">
      <c r="A31" s="11"/>
      <c r="B31" s="11"/>
      <c r="C31" s="11"/>
      <c r="D31" s="11"/>
      <c r="E31" s="11"/>
      <c r="F31" s="11"/>
      <c r="G31" s="11"/>
      <c r="H31" s="11"/>
      <c r="I31" s="11"/>
      <c r="J31" s="11"/>
      <c r="K31" s="11"/>
      <c r="L31" s="11"/>
      <c r="M31" s="11"/>
      <c r="N31" s="11"/>
      <c r="O31" s="11"/>
      <c r="P31" s="11"/>
      <c r="Q31" s="11"/>
      <c r="R31" s="11"/>
      <c r="S31" s="11"/>
      <c r="T31" s="11"/>
      <c r="U31" s="11"/>
      <c r="V31" s="11"/>
      <c r="W31" s="19"/>
      <c r="X31" s="11"/>
      <c r="Y31" s="11"/>
      <c r="Z31" s="11"/>
      <c r="AA31" s="11"/>
      <c r="AB31" s="11"/>
      <c r="AC31" s="19"/>
      <c r="AD31" s="11"/>
      <c r="AE31" s="11"/>
      <c r="AF31" s="11"/>
      <c r="AG31" s="11"/>
      <c r="AH31" s="11"/>
      <c r="AI31" s="19"/>
      <c r="AJ31" s="11"/>
      <c r="AK31" s="11"/>
      <c r="AL31" s="11"/>
      <c r="AM31" s="11"/>
      <c r="AN31" s="11"/>
      <c r="AO31" s="11"/>
      <c r="AP31" s="11"/>
      <c r="AQ31" s="11"/>
      <c r="AR31" s="11"/>
      <c r="AS31" s="11"/>
      <c r="AT31" s="11"/>
      <c r="AU31" s="19"/>
      <c r="AV31" s="11"/>
      <c r="AW31" s="11"/>
      <c r="AX31" s="11"/>
      <c r="AY31" s="11"/>
      <c r="AZ31" s="11"/>
      <c r="BA31" s="11"/>
      <c r="BB31" s="11"/>
      <c r="BC31" s="11"/>
      <c r="BD31" s="11"/>
      <c r="BE31" s="11"/>
      <c r="BF31" s="11"/>
      <c r="BG31" s="11"/>
      <c r="BH31" s="11"/>
      <c r="BI31" s="11"/>
      <c r="BJ31" s="11"/>
      <c r="BK31" s="11"/>
      <c r="BL31" s="11"/>
      <c r="BM31" s="19"/>
      <c r="BN31" s="11"/>
      <c r="BO31" s="11"/>
      <c r="BP31" s="11"/>
      <c r="BQ31" s="11"/>
      <c r="BR31" s="11"/>
      <c r="BS31" s="11"/>
      <c r="BT31" s="11"/>
      <c r="BU31" s="11"/>
      <c r="BV31" s="11"/>
      <c r="BW31" s="11"/>
      <c r="BX31" s="11"/>
      <c r="BY31" s="19"/>
      <c r="BZ31" s="11"/>
      <c r="CA31" s="11"/>
      <c r="CB31" s="11"/>
      <c r="CC31" s="11"/>
      <c r="CD31" s="11"/>
      <c r="CE31" s="11"/>
      <c r="CF31" s="11"/>
      <c r="CG31" s="11"/>
      <c r="CH31" s="19"/>
      <c r="CI31" s="11"/>
      <c r="CJ31" s="11"/>
      <c r="CK31" s="11"/>
      <c r="CL31" s="11"/>
      <c r="CM31" s="11"/>
      <c r="CN31" s="11"/>
      <c r="CO31" s="11"/>
      <c r="CP31" s="11"/>
      <c r="CQ31" s="11"/>
      <c r="CR31" s="11"/>
      <c r="CS31" s="11"/>
      <c r="CT31" s="11"/>
      <c r="CU31" s="11"/>
    </row>
    <row r="32">
      <c r="A32" s="11"/>
      <c r="B32" s="11"/>
      <c r="C32" s="11"/>
      <c r="D32" s="11"/>
      <c r="E32" s="11"/>
      <c r="F32" s="11"/>
      <c r="G32" s="11"/>
      <c r="H32" s="11"/>
      <c r="I32" s="11"/>
      <c r="J32" s="11"/>
      <c r="K32" s="11"/>
      <c r="L32" s="11"/>
      <c r="M32" s="11"/>
      <c r="N32" s="11"/>
      <c r="O32" s="11"/>
      <c r="P32" s="11"/>
      <c r="Q32" s="11"/>
      <c r="R32" s="11"/>
      <c r="S32" s="11"/>
      <c r="T32" s="11"/>
      <c r="U32" s="11"/>
      <c r="V32" s="11"/>
      <c r="W32" s="19"/>
      <c r="X32" s="11"/>
      <c r="Y32" s="11"/>
      <c r="Z32" s="11"/>
      <c r="AA32" s="11"/>
      <c r="AB32" s="11"/>
      <c r="AC32" s="19"/>
      <c r="AD32" s="11"/>
      <c r="AE32" s="11"/>
      <c r="AF32" s="11"/>
      <c r="AG32" s="11"/>
      <c r="AH32" s="11"/>
      <c r="AI32" s="19"/>
      <c r="AJ32" s="11"/>
      <c r="AK32" s="11"/>
      <c r="AL32" s="11"/>
      <c r="AM32" s="11"/>
      <c r="AN32" s="11"/>
      <c r="AO32" s="11"/>
      <c r="AP32" s="11"/>
      <c r="AQ32" s="11"/>
      <c r="AR32" s="11"/>
      <c r="AS32" s="11"/>
      <c r="AT32" s="11"/>
      <c r="AU32" s="19"/>
      <c r="AV32" s="11"/>
      <c r="AW32" s="11"/>
      <c r="AX32" s="11"/>
      <c r="AY32" s="11"/>
      <c r="AZ32" s="11"/>
      <c r="BA32" s="11"/>
      <c r="BB32" s="11"/>
      <c r="BC32" s="11"/>
      <c r="BD32" s="11"/>
      <c r="BE32" s="11"/>
      <c r="BF32" s="11"/>
      <c r="BG32" s="11"/>
      <c r="BH32" s="11"/>
      <c r="BI32" s="11"/>
      <c r="BJ32" s="11"/>
      <c r="BK32" s="11"/>
      <c r="BL32" s="11"/>
      <c r="BM32" s="19"/>
      <c r="BN32" s="11"/>
      <c r="BO32" s="11"/>
      <c r="BP32" s="11"/>
      <c r="BQ32" s="11"/>
      <c r="BR32" s="11"/>
      <c r="BS32" s="11"/>
      <c r="BT32" s="11"/>
      <c r="BU32" s="11"/>
      <c r="BV32" s="11"/>
      <c r="BW32" s="11"/>
      <c r="BX32" s="11"/>
      <c r="BY32" s="19"/>
      <c r="BZ32" s="11"/>
      <c r="CA32" s="11"/>
      <c r="CB32" s="11"/>
      <c r="CC32" s="11"/>
      <c r="CD32" s="11"/>
      <c r="CE32" s="11"/>
      <c r="CF32" s="11"/>
      <c r="CG32" s="11"/>
      <c r="CH32" s="19"/>
      <c r="CI32" s="11"/>
      <c r="CJ32" s="11"/>
      <c r="CK32" s="11"/>
      <c r="CL32" s="11"/>
      <c r="CM32" s="11"/>
      <c r="CN32" s="11"/>
      <c r="CO32" s="11"/>
      <c r="CP32" s="11"/>
      <c r="CQ32" s="11"/>
      <c r="CR32" s="11"/>
      <c r="CS32" s="11"/>
      <c r="CT32" s="11"/>
      <c r="CU32" s="11"/>
    </row>
    <row r="33">
      <c r="A33" s="11"/>
      <c r="B33" s="11"/>
      <c r="C33" s="11"/>
      <c r="D33" s="11"/>
      <c r="E33" s="11"/>
      <c r="F33" s="11"/>
      <c r="G33" s="11"/>
      <c r="H33" s="11"/>
      <c r="I33" s="11"/>
      <c r="J33" s="11"/>
      <c r="K33" s="11"/>
      <c r="L33" s="11"/>
      <c r="M33" s="11"/>
      <c r="N33" s="11"/>
      <c r="O33" s="11"/>
      <c r="P33" s="11"/>
      <c r="Q33" s="11"/>
      <c r="R33" s="11"/>
      <c r="S33" s="11"/>
      <c r="T33" s="11"/>
      <c r="U33" s="11"/>
      <c r="V33" s="11"/>
      <c r="W33" s="19"/>
      <c r="X33" s="11"/>
      <c r="Y33" s="11"/>
      <c r="Z33" s="11"/>
      <c r="AA33" s="11"/>
      <c r="AB33" s="11"/>
      <c r="AC33" s="19"/>
      <c r="AD33" s="11"/>
      <c r="AE33" s="11"/>
      <c r="AF33" s="11"/>
      <c r="AG33" s="11"/>
      <c r="AH33" s="11"/>
      <c r="AI33" s="19"/>
      <c r="AJ33" s="11"/>
      <c r="AK33" s="11"/>
      <c r="AL33" s="11"/>
      <c r="AM33" s="11"/>
      <c r="AN33" s="11"/>
      <c r="AO33" s="11"/>
      <c r="AP33" s="11"/>
      <c r="AQ33" s="11"/>
      <c r="AR33" s="11"/>
      <c r="AS33" s="11"/>
      <c r="AT33" s="11"/>
      <c r="AU33" s="19"/>
      <c r="AV33" s="11"/>
      <c r="AW33" s="11"/>
      <c r="AX33" s="11"/>
      <c r="AY33" s="11"/>
      <c r="AZ33" s="11"/>
      <c r="BA33" s="11"/>
      <c r="BB33" s="11"/>
      <c r="BC33" s="11"/>
      <c r="BD33" s="11"/>
      <c r="BE33" s="11"/>
      <c r="BF33" s="11"/>
      <c r="BG33" s="11"/>
      <c r="BH33" s="11"/>
      <c r="BI33" s="11"/>
      <c r="BJ33" s="11"/>
      <c r="BK33" s="11"/>
      <c r="BL33" s="11"/>
      <c r="BM33" s="19"/>
      <c r="BN33" s="11"/>
      <c r="BO33" s="11"/>
      <c r="BP33" s="11"/>
      <c r="BQ33" s="11"/>
      <c r="BR33" s="11"/>
      <c r="BS33" s="11"/>
      <c r="BT33" s="11"/>
      <c r="BU33" s="11"/>
      <c r="BV33" s="11"/>
      <c r="BW33" s="11"/>
      <c r="BX33" s="11"/>
      <c r="BY33" s="19"/>
      <c r="BZ33" s="11"/>
      <c r="CA33" s="11"/>
      <c r="CB33" s="11"/>
      <c r="CC33" s="11"/>
      <c r="CD33" s="11"/>
      <c r="CE33" s="11"/>
      <c r="CF33" s="11"/>
      <c r="CG33" s="11"/>
      <c r="CH33" s="19"/>
      <c r="CI33" s="11"/>
      <c r="CJ33" s="11"/>
      <c r="CK33" s="11"/>
      <c r="CL33" s="11"/>
      <c r="CM33" s="11"/>
      <c r="CN33" s="11"/>
      <c r="CO33" s="11"/>
      <c r="CP33" s="11"/>
      <c r="CQ33" s="11"/>
      <c r="CR33" s="11"/>
      <c r="CS33" s="11"/>
      <c r="CT33" s="11"/>
      <c r="CU33" s="11"/>
    </row>
    <row r="34" ht="75.0" customHeight="1">
      <c r="A34" s="14"/>
      <c r="B34" s="14"/>
      <c r="C34" s="14"/>
      <c r="D34" s="14"/>
      <c r="E34" s="14"/>
      <c r="F34" s="14"/>
      <c r="G34" s="14"/>
      <c r="H34" s="14"/>
      <c r="I34" s="14"/>
      <c r="J34" s="14"/>
      <c r="K34" s="14"/>
      <c r="L34" s="14"/>
      <c r="M34" s="14"/>
      <c r="N34" s="14"/>
      <c r="O34" s="14"/>
      <c r="P34" s="14"/>
      <c r="Q34" s="14"/>
      <c r="R34" s="14"/>
      <c r="S34" s="14"/>
      <c r="T34" s="14"/>
      <c r="U34" s="14"/>
      <c r="V34" s="14"/>
      <c r="W34" s="20"/>
      <c r="X34" s="14"/>
      <c r="Y34" s="14"/>
      <c r="Z34" s="14"/>
      <c r="AA34" s="14"/>
      <c r="AB34" s="14"/>
      <c r="AC34" s="20"/>
      <c r="AD34" s="14"/>
      <c r="AE34" s="14"/>
      <c r="AF34" s="14"/>
      <c r="AG34" s="14"/>
      <c r="AH34" s="14"/>
      <c r="AI34" s="20"/>
      <c r="AJ34" s="14"/>
      <c r="AK34" s="14"/>
      <c r="AL34" s="14"/>
      <c r="AM34" s="14"/>
      <c r="AN34" s="14"/>
      <c r="AO34" s="14"/>
      <c r="AP34" s="14"/>
      <c r="AQ34" s="14"/>
      <c r="AR34" s="14"/>
      <c r="AS34" s="14"/>
      <c r="AT34" s="14"/>
      <c r="AU34" s="20"/>
      <c r="AV34" s="14"/>
      <c r="AW34" s="14"/>
      <c r="AX34" s="14"/>
      <c r="AY34" s="14"/>
      <c r="AZ34" s="14"/>
      <c r="BA34" s="14"/>
      <c r="BB34" s="14"/>
      <c r="BC34" s="14"/>
      <c r="BD34" s="14"/>
      <c r="BE34" s="14"/>
      <c r="BF34" s="14"/>
      <c r="BG34" s="14"/>
      <c r="BH34" s="14"/>
      <c r="BI34" s="14"/>
      <c r="BJ34" s="14"/>
      <c r="BK34" s="14"/>
      <c r="BL34" s="14"/>
      <c r="BM34" s="20"/>
      <c r="BN34" s="14"/>
      <c r="BO34" s="14"/>
      <c r="BP34" s="14"/>
      <c r="BQ34" s="14"/>
      <c r="BR34" s="14"/>
      <c r="BS34" s="14"/>
      <c r="BT34" s="14"/>
      <c r="BU34" s="14"/>
      <c r="BV34" s="14"/>
      <c r="BW34" s="14"/>
      <c r="BX34" s="14"/>
      <c r="BY34" s="20"/>
      <c r="BZ34" s="14"/>
      <c r="CA34" s="14"/>
      <c r="CB34" s="14"/>
      <c r="CC34" s="14"/>
      <c r="CD34" s="14"/>
      <c r="CE34" s="14"/>
      <c r="CF34" s="14"/>
      <c r="CG34" s="14"/>
      <c r="CH34" s="20"/>
      <c r="CI34" s="14"/>
      <c r="CJ34" s="14"/>
      <c r="CK34" s="14"/>
      <c r="CL34" s="14"/>
      <c r="CM34" s="14"/>
      <c r="CN34" s="14"/>
      <c r="CO34" s="14"/>
      <c r="CP34" s="14"/>
      <c r="CQ34" s="14"/>
      <c r="CR34" s="14"/>
      <c r="CS34" s="14"/>
      <c r="CT34" s="14"/>
      <c r="CU34" s="14"/>
    </row>
    <row r="35">
      <c r="A35" s="5" t="s">
        <v>75</v>
      </c>
      <c r="B35" s="6" t="s">
        <v>76</v>
      </c>
      <c r="C35" s="7" t="s">
        <v>77</v>
      </c>
      <c r="D35" s="38">
        <v>1.0</v>
      </c>
      <c r="E35" s="38" t="s">
        <v>564</v>
      </c>
      <c r="F35" s="48">
        <v>100.0</v>
      </c>
      <c r="G35" s="38">
        <v>1.0</v>
      </c>
      <c r="H35" s="38" t="s">
        <v>565</v>
      </c>
      <c r="I35" s="48">
        <v>100.0</v>
      </c>
      <c r="J35" s="45">
        <v>0.0</v>
      </c>
      <c r="K35" s="38" t="s">
        <v>566</v>
      </c>
      <c r="L35" s="48">
        <v>50.0</v>
      </c>
      <c r="M35" s="45">
        <v>0.0</v>
      </c>
      <c r="N35" s="38" t="s">
        <v>567</v>
      </c>
      <c r="O35" s="48">
        <v>50.0</v>
      </c>
      <c r="P35" s="38">
        <v>1.0</v>
      </c>
      <c r="Q35" s="38" t="s">
        <v>568</v>
      </c>
      <c r="R35" s="48">
        <v>100.0</v>
      </c>
      <c r="S35" s="40">
        <v>1.0</v>
      </c>
      <c r="T35" s="38" t="s">
        <v>569</v>
      </c>
      <c r="U35" s="48">
        <v>100.0</v>
      </c>
      <c r="V35" s="38">
        <v>0.0</v>
      </c>
      <c r="W35" s="41" t="s">
        <v>570</v>
      </c>
      <c r="X35" s="48">
        <v>50.0</v>
      </c>
      <c r="Y35" s="38">
        <v>1.0</v>
      </c>
      <c r="Z35" s="38" t="s">
        <v>571</v>
      </c>
      <c r="AA35" s="48">
        <v>100.0</v>
      </c>
      <c r="AB35" s="38">
        <v>0.0</v>
      </c>
      <c r="AC35" s="41" t="s">
        <v>572</v>
      </c>
      <c r="AD35" s="48">
        <v>50.0</v>
      </c>
      <c r="AE35" s="38">
        <v>1.0</v>
      </c>
      <c r="AF35" s="38" t="s">
        <v>573</v>
      </c>
      <c r="AG35" s="48">
        <v>100.0</v>
      </c>
      <c r="AH35" s="38">
        <v>1.0</v>
      </c>
      <c r="AI35" s="41" t="s">
        <v>574</v>
      </c>
      <c r="AJ35" s="48">
        <v>100.0</v>
      </c>
      <c r="AK35" s="38">
        <v>1.0</v>
      </c>
      <c r="AL35" s="38" t="s">
        <v>575</v>
      </c>
      <c r="AM35" s="48">
        <v>100.0</v>
      </c>
      <c r="AN35" s="38">
        <v>1.0</v>
      </c>
      <c r="AO35" s="38" t="s">
        <v>576</v>
      </c>
      <c r="AP35" s="48">
        <v>100.0</v>
      </c>
      <c r="AQ35" s="40">
        <v>1.0</v>
      </c>
      <c r="AR35" s="38" t="s">
        <v>577</v>
      </c>
      <c r="AS35" s="48">
        <v>100.0</v>
      </c>
      <c r="AT35" s="38">
        <v>1.0</v>
      </c>
      <c r="AU35" s="41" t="s">
        <v>578</v>
      </c>
      <c r="AV35" s="48">
        <v>100.0</v>
      </c>
      <c r="AW35" s="40">
        <v>1.0</v>
      </c>
      <c r="AX35" s="38" t="s">
        <v>579</v>
      </c>
      <c r="AY35" s="48">
        <v>100.0</v>
      </c>
      <c r="AZ35" s="38">
        <v>1.0</v>
      </c>
      <c r="BA35" s="38" t="s">
        <v>580</v>
      </c>
      <c r="BB35" s="48">
        <v>100.0</v>
      </c>
      <c r="BC35" s="38">
        <v>1.0</v>
      </c>
      <c r="BD35" s="38" t="s">
        <v>581</v>
      </c>
      <c r="BE35" s="48">
        <v>100.0</v>
      </c>
      <c r="BF35" s="38">
        <v>1.0</v>
      </c>
      <c r="BG35" s="38" t="s">
        <v>582</v>
      </c>
      <c r="BH35" s="48">
        <v>100.0</v>
      </c>
      <c r="BI35" s="38">
        <v>0.0</v>
      </c>
      <c r="BJ35" s="38" t="s">
        <v>583</v>
      </c>
      <c r="BK35" s="48">
        <v>50.0</v>
      </c>
      <c r="BL35" s="38">
        <v>0.0</v>
      </c>
      <c r="BM35" s="41" t="s">
        <v>584</v>
      </c>
      <c r="BN35" s="48">
        <v>50.0</v>
      </c>
      <c r="BO35" s="38">
        <v>1.0</v>
      </c>
      <c r="BP35" s="38" t="s">
        <v>585</v>
      </c>
      <c r="BQ35" s="48">
        <v>100.0</v>
      </c>
      <c r="BR35" s="38">
        <v>1.0</v>
      </c>
      <c r="BS35" s="38" t="s">
        <v>586</v>
      </c>
      <c r="BT35" s="48">
        <v>100.0</v>
      </c>
      <c r="BU35" s="38">
        <v>1.0</v>
      </c>
      <c r="BV35" s="38" t="s">
        <v>587</v>
      </c>
      <c r="BW35" s="48">
        <v>100.0</v>
      </c>
      <c r="BX35" s="45">
        <v>0.0</v>
      </c>
      <c r="BY35" s="41" t="s">
        <v>588</v>
      </c>
      <c r="BZ35" s="48">
        <v>50.0</v>
      </c>
      <c r="CA35" s="38">
        <v>1.0</v>
      </c>
      <c r="CB35" s="38" t="s">
        <v>589</v>
      </c>
      <c r="CC35" s="48">
        <v>100.0</v>
      </c>
      <c r="CD35" s="38">
        <v>0.0</v>
      </c>
      <c r="CE35" s="38" t="s">
        <v>590</v>
      </c>
      <c r="CF35" s="48">
        <v>50.0</v>
      </c>
      <c r="CG35" s="38">
        <v>1.0</v>
      </c>
      <c r="CH35" s="41" t="s">
        <v>591</v>
      </c>
      <c r="CI35" s="48">
        <v>100.0</v>
      </c>
      <c r="CJ35" s="38">
        <v>1.0</v>
      </c>
      <c r="CK35" s="38" t="s">
        <v>592</v>
      </c>
      <c r="CL35" s="48">
        <v>100.0</v>
      </c>
      <c r="CM35" s="38">
        <v>1.0</v>
      </c>
      <c r="CN35" s="38" t="s">
        <v>593</v>
      </c>
      <c r="CO35" s="48">
        <v>100.0</v>
      </c>
      <c r="CP35" s="38">
        <v>1.0</v>
      </c>
      <c r="CQ35" s="38" t="s">
        <v>594</v>
      </c>
      <c r="CR35" s="48">
        <v>100.0</v>
      </c>
      <c r="CS35" s="38">
        <v>1.0</v>
      </c>
      <c r="CT35" s="38" t="s">
        <v>595</v>
      </c>
      <c r="CU35" s="48">
        <v>100.0</v>
      </c>
    </row>
    <row r="36">
      <c r="A36" s="11"/>
      <c r="B36" s="14"/>
      <c r="C36" s="7" t="s">
        <v>80</v>
      </c>
      <c r="D36" s="38">
        <v>1.0</v>
      </c>
      <c r="E36" s="38" t="s">
        <v>596</v>
      </c>
      <c r="F36" s="14"/>
      <c r="G36" s="38">
        <v>1.0</v>
      </c>
      <c r="H36" s="38" t="s">
        <v>597</v>
      </c>
      <c r="I36" s="14"/>
      <c r="J36" s="38">
        <v>1.0</v>
      </c>
      <c r="K36" s="38" t="s">
        <v>598</v>
      </c>
      <c r="L36" s="14"/>
      <c r="M36" s="38">
        <v>1.0</v>
      </c>
      <c r="N36" s="38" t="s">
        <v>599</v>
      </c>
      <c r="O36" s="14"/>
      <c r="P36" s="38">
        <v>1.0</v>
      </c>
      <c r="Q36" s="38" t="s">
        <v>600</v>
      </c>
      <c r="R36" s="14"/>
      <c r="S36" s="40">
        <v>1.0</v>
      </c>
      <c r="T36" s="42" t="s">
        <v>601</v>
      </c>
      <c r="U36" s="14"/>
      <c r="V36" s="38">
        <v>1.0</v>
      </c>
      <c r="W36" s="41" t="s">
        <v>602</v>
      </c>
      <c r="X36" s="14"/>
      <c r="Y36" s="38">
        <v>1.0</v>
      </c>
      <c r="Z36" s="38" t="s">
        <v>603</v>
      </c>
      <c r="AA36" s="14"/>
      <c r="AB36" s="38">
        <v>1.0</v>
      </c>
      <c r="AC36" s="41" t="s">
        <v>604</v>
      </c>
      <c r="AD36" s="14"/>
      <c r="AE36" s="38">
        <v>1.0</v>
      </c>
      <c r="AF36" s="38" t="s">
        <v>605</v>
      </c>
      <c r="AG36" s="14"/>
      <c r="AH36" s="38">
        <v>1.0</v>
      </c>
      <c r="AI36" s="41" t="s">
        <v>606</v>
      </c>
      <c r="AJ36" s="14"/>
      <c r="AK36" s="38">
        <v>1.0</v>
      </c>
      <c r="AL36" s="42" t="s">
        <v>607</v>
      </c>
      <c r="AM36" s="14"/>
      <c r="AN36" s="38">
        <v>1.0</v>
      </c>
      <c r="AO36" s="38" t="s">
        <v>608</v>
      </c>
      <c r="AP36" s="14"/>
      <c r="AQ36" s="40">
        <v>1.0</v>
      </c>
      <c r="AR36" s="38" t="s">
        <v>609</v>
      </c>
      <c r="AS36" s="14"/>
      <c r="AT36" s="38">
        <v>1.0</v>
      </c>
      <c r="AU36" s="41" t="s">
        <v>610</v>
      </c>
      <c r="AV36" s="14"/>
      <c r="AW36" s="40">
        <v>1.0</v>
      </c>
      <c r="AX36" s="38" t="s">
        <v>611</v>
      </c>
      <c r="AY36" s="14"/>
      <c r="AZ36" s="38">
        <v>1.0</v>
      </c>
      <c r="BA36" s="38" t="s">
        <v>612</v>
      </c>
      <c r="BB36" s="14"/>
      <c r="BC36" s="38">
        <v>1.0</v>
      </c>
      <c r="BD36" s="38" t="s">
        <v>613</v>
      </c>
      <c r="BE36" s="14"/>
      <c r="BF36" s="38">
        <v>1.0</v>
      </c>
      <c r="BG36" s="38" t="s">
        <v>614</v>
      </c>
      <c r="BH36" s="14"/>
      <c r="BI36" s="38">
        <v>1.0</v>
      </c>
      <c r="BJ36" s="42" t="s">
        <v>615</v>
      </c>
      <c r="BK36" s="14"/>
      <c r="BL36" s="38">
        <v>1.0</v>
      </c>
      <c r="BM36" s="41" t="s">
        <v>616</v>
      </c>
      <c r="BN36" s="14"/>
      <c r="BO36" s="38">
        <v>1.0</v>
      </c>
      <c r="BP36" s="38" t="s">
        <v>617</v>
      </c>
      <c r="BQ36" s="14"/>
      <c r="BR36" s="38">
        <v>1.0</v>
      </c>
      <c r="BS36" s="38" t="s">
        <v>618</v>
      </c>
      <c r="BT36" s="14"/>
      <c r="BU36" s="38">
        <v>1.0</v>
      </c>
      <c r="BV36" s="38" t="s">
        <v>619</v>
      </c>
      <c r="BW36" s="14"/>
      <c r="BX36" s="38">
        <v>1.0</v>
      </c>
      <c r="BY36" s="41" t="s">
        <v>620</v>
      </c>
      <c r="BZ36" s="14"/>
      <c r="CA36" s="38">
        <v>1.0</v>
      </c>
      <c r="CB36" s="38" t="s">
        <v>621</v>
      </c>
      <c r="CC36" s="14"/>
      <c r="CD36" s="38">
        <v>1.0</v>
      </c>
      <c r="CE36" s="38" t="s">
        <v>622</v>
      </c>
      <c r="CF36" s="14"/>
      <c r="CG36" s="38">
        <v>1.0</v>
      </c>
      <c r="CH36" s="41" t="s">
        <v>623</v>
      </c>
      <c r="CI36" s="14"/>
      <c r="CJ36" s="38">
        <v>1.0</v>
      </c>
      <c r="CK36" s="38" t="s">
        <v>624</v>
      </c>
      <c r="CL36" s="14"/>
      <c r="CM36" s="38">
        <v>1.0</v>
      </c>
      <c r="CN36" s="38" t="s">
        <v>625</v>
      </c>
      <c r="CO36" s="14"/>
      <c r="CP36" s="38">
        <v>1.0</v>
      </c>
      <c r="CQ36" s="38" t="s">
        <v>626</v>
      </c>
      <c r="CR36" s="14"/>
      <c r="CS36" s="38">
        <v>1.0</v>
      </c>
      <c r="CT36" s="38" t="s">
        <v>627</v>
      </c>
      <c r="CU36" s="14"/>
    </row>
    <row r="37">
      <c r="A37" s="11"/>
      <c r="B37" s="6" t="s">
        <v>83</v>
      </c>
      <c r="C37" s="7" t="s">
        <v>84</v>
      </c>
      <c r="D37" s="38">
        <v>0.0</v>
      </c>
      <c r="E37" s="51"/>
      <c r="F37" s="44">
        <v>0.0</v>
      </c>
      <c r="G37" s="38">
        <v>0.0</v>
      </c>
      <c r="H37" s="51"/>
      <c r="I37" s="44">
        <v>0.0</v>
      </c>
      <c r="J37" s="38">
        <v>0.0</v>
      </c>
      <c r="K37" s="51"/>
      <c r="L37" s="44">
        <v>0.0</v>
      </c>
      <c r="M37" s="38">
        <v>0.0</v>
      </c>
      <c r="N37" s="51"/>
      <c r="O37" s="44">
        <v>0.0</v>
      </c>
      <c r="P37" s="38">
        <v>0.0</v>
      </c>
      <c r="Q37" s="51"/>
      <c r="R37" s="44">
        <v>0.0</v>
      </c>
      <c r="S37" s="38">
        <v>0.0</v>
      </c>
      <c r="T37" s="51"/>
      <c r="U37" s="44">
        <v>0.0</v>
      </c>
      <c r="V37" s="38">
        <v>0.0</v>
      </c>
      <c r="W37" s="43"/>
      <c r="X37" s="44">
        <v>0.0</v>
      </c>
      <c r="Y37" s="38">
        <v>0.0</v>
      </c>
      <c r="Z37" s="51"/>
      <c r="AA37" s="44">
        <v>0.0</v>
      </c>
      <c r="AB37" s="38">
        <v>0.0</v>
      </c>
      <c r="AC37" s="51"/>
      <c r="AD37" s="44">
        <v>0.0</v>
      </c>
      <c r="AE37" s="38">
        <v>0.0</v>
      </c>
      <c r="AF37" s="51"/>
      <c r="AG37" s="44">
        <v>0.0</v>
      </c>
      <c r="AH37" s="38">
        <v>0.0</v>
      </c>
      <c r="AI37" s="43"/>
      <c r="AJ37" s="44">
        <v>0.0</v>
      </c>
      <c r="AK37" s="38">
        <v>0.0</v>
      </c>
      <c r="AL37" s="51"/>
      <c r="AM37" s="44">
        <v>0.0</v>
      </c>
      <c r="AN37" s="38">
        <v>0.0</v>
      </c>
      <c r="AO37" s="51"/>
      <c r="AP37" s="44">
        <v>0.0</v>
      </c>
      <c r="AQ37" s="38">
        <v>0.0</v>
      </c>
      <c r="AR37" s="63"/>
      <c r="AS37" s="44">
        <v>0.0</v>
      </c>
      <c r="AT37" s="38">
        <v>0.0</v>
      </c>
      <c r="AU37" s="43"/>
      <c r="AV37" s="44">
        <v>0.0</v>
      </c>
      <c r="AW37" s="38">
        <v>0.0</v>
      </c>
      <c r="AX37" s="51"/>
      <c r="AY37" s="44">
        <v>0.0</v>
      </c>
      <c r="AZ37" s="38">
        <v>0.0</v>
      </c>
      <c r="BA37" s="51"/>
      <c r="BB37" s="44">
        <v>0.0</v>
      </c>
      <c r="BC37" s="38">
        <v>0.0</v>
      </c>
      <c r="BD37" s="51"/>
      <c r="BE37" s="44">
        <v>0.0</v>
      </c>
      <c r="BF37" s="38">
        <v>0.0</v>
      </c>
      <c r="BG37" s="51"/>
      <c r="BH37" s="44">
        <v>0.0</v>
      </c>
      <c r="BI37" s="38">
        <v>0.0</v>
      </c>
      <c r="BJ37" s="51"/>
      <c r="BK37" s="44">
        <v>0.0</v>
      </c>
      <c r="BL37" s="38">
        <v>0.0</v>
      </c>
      <c r="BM37" s="51"/>
      <c r="BN37" s="44">
        <v>0.0</v>
      </c>
      <c r="BO37" s="38">
        <v>0.0</v>
      </c>
      <c r="BP37" s="51"/>
      <c r="BQ37" s="44">
        <v>0.0</v>
      </c>
      <c r="BR37" s="38">
        <v>0.0</v>
      </c>
      <c r="BS37" s="51"/>
      <c r="BT37" s="44">
        <v>0.0</v>
      </c>
      <c r="BU37" s="38">
        <v>0.0</v>
      </c>
      <c r="BV37" s="51"/>
      <c r="BW37" s="44">
        <v>0.0</v>
      </c>
      <c r="BX37" s="38">
        <v>0.0</v>
      </c>
      <c r="BY37" s="43"/>
      <c r="BZ37" s="44">
        <v>0.0</v>
      </c>
      <c r="CA37" s="38">
        <v>0.0</v>
      </c>
      <c r="CB37" s="51"/>
      <c r="CC37" s="44">
        <v>0.0</v>
      </c>
      <c r="CD37" s="38">
        <v>0.0</v>
      </c>
      <c r="CE37" s="51"/>
      <c r="CF37" s="44">
        <v>0.0</v>
      </c>
      <c r="CG37" s="38">
        <v>0.0</v>
      </c>
      <c r="CH37" s="43"/>
      <c r="CI37" s="44">
        <v>0.0</v>
      </c>
      <c r="CJ37" s="38">
        <v>0.0</v>
      </c>
      <c r="CK37" s="51"/>
      <c r="CL37" s="44">
        <v>0.0</v>
      </c>
      <c r="CM37" s="38">
        <v>0.0</v>
      </c>
      <c r="CN37" s="51"/>
      <c r="CO37" s="44">
        <v>0.0</v>
      </c>
      <c r="CP37" s="38">
        <v>0.0</v>
      </c>
      <c r="CQ37" s="51"/>
      <c r="CR37" s="44">
        <v>0.0</v>
      </c>
      <c r="CS37" s="45">
        <v>0.0</v>
      </c>
      <c r="CT37" s="64"/>
      <c r="CU37" s="48">
        <v>0.0</v>
      </c>
    </row>
    <row r="38">
      <c r="A38" s="11"/>
      <c r="B38" s="11"/>
      <c r="C38" s="7" t="s">
        <v>88</v>
      </c>
      <c r="D38" s="38">
        <v>0.0</v>
      </c>
      <c r="E38" s="51"/>
      <c r="F38" s="11"/>
      <c r="G38" s="38">
        <v>0.0</v>
      </c>
      <c r="H38" s="51"/>
      <c r="I38" s="11"/>
      <c r="J38" s="38">
        <v>0.0</v>
      </c>
      <c r="K38" s="51"/>
      <c r="L38" s="11"/>
      <c r="M38" s="38">
        <v>0.0</v>
      </c>
      <c r="N38" s="51"/>
      <c r="O38" s="11"/>
      <c r="P38" s="38">
        <v>0.0</v>
      </c>
      <c r="Q38" s="51"/>
      <c r="R38" s="11"/>
      <c r="S38" s="38">
        <v>0.0</v>
      </c>
      <c r="T38" s="51"/>
      <c r="U38" s="11"/>
      <c r="V38" s="38">
        <v>0.0</v>
      </c>
      <c r="W38" s="43"/>
      <c r="X38" s="11"/>
      <c r="Y38" s="38">
        <v>0.0</v>
      </c>
      <c r="Z38" s="51"/>
      <c r="AA38" s="11"/>
      <c r="AB38" s="38">
        <v>0.0</v>
      </c>
      <c r="AC38" s="51"/>
      <c r="AD38" s="11"/>
      <c r="AE38" s="38">
        <v>0.0</v>
      </c>
      <c r="AF38" s="51"/>
      <c r="AG38" s="11"/>
      <c r="AH38" s="38">
        <v>0.0</v>
      </c>
      <c r="AI38" s="43"/>
      <c r="AJ38" s="11"/>
      <c r="AK38" s="38">
        <v>0.0</v>
      </c>
      <c r="AL38" s="51"/>
      <c r="AM38" s="11"/>
      <c r="AN38" s="38">
        <v>0.0</v>
      </c>
      <c r="AO38" s="51"/>
      <c r="AP38" s="11"/>
      <c r="AQ38" s="38">
        <v>0.0</v>
      </c>
      <c r="AR38" s="51"/>
      <c r="AS38" s="11"/>
      <c r="AT38" s="38">
        <v>0.0</v>
      </c>
      <c r="AU38" s="43"/>
      <c r="AV38" s="11"/>
      <c r="AW38" s="38">
        <v>0.0</v>
      </c>
      <c r="AX38" s="51"/>
      <c r="AY38" s="11"/>
      <c r="AZ38" s="38">
        <v>0.0</v>
      </c>
      <c r="BA38" s="51"/>
      <c r="BB38" s="11"/>
      <c r="BC38" s="38">
        <v>0.0</v>
      </c>
      <c r="BD38" s="51"/>
      <c r="BE38" s="11"/>
      <c r="BF38" s="38">
        <v>0.0</v>
      </c>
      <c r="BG38" s="51"/>
      <c r="BH38" s="11"/>
      <c r="BI38" s="38">
        <v>0.0</v>
      </c>
      <c r="BJ38" s="51"/>
      <c r="BK38" s="11"/>
      <c r="BL38" s="38">
        <v>0.0</v>
      </c>
      <c r="BM38" s="51"/>
      <c r="BN38" s="11"/>
      <c r="BO38" s="38">
        <v>0.0</v>
      </c>
      <c r="BP38" s="51"/>
      <c r="BQ38" s="11"/>
      <c r="BR38" s="38">
        <v>0.0</v>
      </c>
      <c r="BS38" s="51"/>
      <c r="BT38" s="11"/>
      <c r="BU38" s="38">
        <v>0.0</v>
      </c>
      <c r="BV38" s="51"/>
      <c r="BW38" s="11"/>
      <c r="BX38" s="38">
        <v>0.0</v>
      </c>
      <c r="BY38" s="43"/>
      <c r="BZ38" s="11"/>
      <c r="CA38" s="38">
        <v>0.0</v>
      </c>
      <c r="CB38" s="51"/>
      <c r="CC38" s="11"/>
      <c r="CD38" s="38">
        <v>0.0</v>
      </c>
      <c r="CE38" s="51"/>
      <c r="CF38" s="11"/>
      <c r="CG38" s="38">
        <v>0.0</v>
      </c>
      <c r="CH38" s="43"/>
      <c r="CI38" s="11"/>
      <c r="CJ38" s="38">
        <v>0.0</v>
      </c>
      <c r="CK38" s="51"/>
      <c r="CL38" s="11"/>
      <c r="CM38" s="38">
        <v>0.0</v>
      </c>
      <c r="CN38" s="51"/>
      <c r="CO38" s="11"/>
      <c r="CP38" s="38">
        <v>0.0</v>
      </c>
      <c r="CQ38" s="51"/>
      <c r="CR38" s="11"/>
      <c r="CS38" s="38">
        <v>0.0</v>
      </c>
      <c r="CT38" s="54"/>
      <c r="CU38" s="11"/>
    </row>
    <row r="39">
      <c r="A39" s="14"/>
      <c r="B39" s="14"/>
      <c r="C39" s="7" t="s">
        <v>91</v>
      </c>
      <c r="D39" s="38">
        <v>0.0</v>
      </c>
      <c r="E39" s="51"/>
      <c r="F39" s="14"/>
      <c r="G39" s="38">
        <v>0.0</v>
      </c>
      <c r="H39" s="51"/>
      <c r="I39" s="14"/>
      <c r="J39" s="38">
        <v>0.0</v>
      </c>
      <c r="K39" s="51"/>
      <c r="L39" s="14"/>
      <c r="M39" s="38">
        <v>0.0</v>
      </c>
      <c r="N39" s="51"/>
      <c r="O39" s="14"/>
      <c r="P39" s="38">
        <v>0.0</v>
      </c>
      <c r="Q39" s="51"/>
      <c r="R39" s="14"/>
      <c r="S39" s="38">
        <v>0.0</v>
      </c>
      <c r="T39" s="51"/>
      <c r="U39" s="14"/>
      <c r="V39" s="38">
        <v>0.0</v>
      </c>
      <c r="W39" s="43"/>
      <c r="X39" s="14"/>
      <c r="Y39" s="38">
        <v>0.0</v>
      </c>
      <c r="Z39" s="51"/>
      <c r="AA39" s="14"/>
      <c r="AB39" s="38">
        <v>0.0</v>
      </c>
      <c r="AC39" s="51"/>
      <c r="AD39" s="14"/>
      <c r="AE39" s="38">
        <v>0.0</v>
      </c>
      <c r="AF39" s="51"/>
      <c r="AG39" s="14"/>
      <c r="AH39" s="38">
        <v>0.0</v>
      </c>
      <c r="AI39" s="43"/>
      <c r="AJ39" s="14"/>
      <c r="AK39" s="38">
        <v>0.0</v>
      </c>
      <c r="AL39" s="51"/>
      <c r="AM39" s="14"/>
      <c r="AN39" s="38">
        <v>0.0</v>
      </c>
      <c r="AO39" s="51"/>
      <c r="AP39" s="14"/>
      <c r="AQ39" s="38">
        <v>0.0</v>
      </c>
      <c r="AR39" s="38" t="s">
        <v>628</v>
      </c>
      <c r="AS39" s="14"/>
      <c r="AT39" s="38">
        <v>0.0</v>
      </c>
      <c r="AU39" s="43"/>
      <c r="AV39" s="14"/>
      <c r="AW39" s="38">
        <v>0.0</v>
      </c>
      <c r="AX39" s="51"/>
      <c r="AY39" s="14"/>
      <c r="AZ39" s="38">
        <v>0.0</v>
      </c>
      <c r="BA39" s="51"/>
      <c r="BB39" s="14"/>
      <c r="BC39" s="38">
        <v>0.0</v>
      </c>
      <c r="BD39" s="51"/>
      <c r="BE39" s="14"/>
      <c r="BF39" s="38">
        <v>0.0</v>
      </c>
      <c r="BG39" s="51"/>
      <c r="BH39" s="14"/>
      <c r="BI39" s="38">
        <v>0.0</v>
      </c>
      <c r="BJ39" s="51"/>
      <c r="BK39" s="14"/>
      <c r="BL39" s="38">
        <v>0.0</v>
      </c>
      <c r="BM39" s="51"/>
      <c r="BN39" s="14"/>
      <c r="BO39" s="38">
        <v>0.0</v>
      </c>
      <c r="BP39" s="51"/>
      <c r="BQ39" s="14"/>
      <c r="BR39" s="38">
        <v>0.0</v>
      </c>
      <c r="BS39" s="51"/>
      <c r="BT39" s="14"/>
      <c r="BU39" s="38">
        <v>0.0</v>
      </c>
      <c r="BV39" s="38" t="s">
        <v>629</v>
      </c>
      <c r="BW39" s="14"/>
      <c r="BX39" s="38">
        <v>0.0</v>
      </c>
      <c r="BY39" s="43"/>
      <c r="BZ39" s="14"/>
      <c r="CA39" s="38">
        <v>0.0</v>
      </c>
      <c r="CB39" s="51"/>
      <c r="CC39" s="14"/>
      <c r="CD39" s="38">
        <v>0.0</v>
      </c>
      <c r="CE39" s="51"/>
      <c r="CF39" s="14"/>
      <c r="CG39" s="38">
        <v>0.0</v>
      </c>
      <c r="CH39" s="43"/>
      <c r="CI39" s="14"/>
      <c r="CJ39" s="38">
        <v>0.0</v>
      </c>
      <c r="CK39" s="51"/>
      <c r="CL39" s="14"/>
      <c r="CM39" s="38">
        <v>0.0</v>
      </c>
      <c r="CN39" s="51"/>
      <c r="CO39" s="14"/>
      <c r="CP39" s="38">
        <v>0.0</v>
      </c>
      <c r="CQ39" s="51"/>
      <c r="CR39" s="14"/>
      <c r="CS39" s="38">
        <v>0.0</v>
      </c>
      <c r="CT39" s="54"/>
      <c r="CU39" s="14"/>
    </row>
    <row r="40">
      <c r="A40" s="5" t="s">
        <v>94</v>
      </c>
      <c r="B40" s="2" t="s">
        <v>95</v>
      </c>
      <c r="C40" s="7" t="s">
        <v>96</v>
      </c>
      <c r="D40" s="45">
        <v>0.0</v>
      </c>
      <c r="E40" s="47" t="s">
        <v>630</v>
      </c>
      <c r="F40" s="55">
        <v>0.0</v>
      </c>
      <c r="G40" s="45">
        <v>0.0</v>
      </c>
      <c r="H40" s="47" t="s">
        <v>631</v>
      </c>
      <c r="I40" s="55">
        <v>0.0</v>
      </c>
      <c r="J40" s="45">
        <v>0.0</v>
      </c>
      <c r="K40" s="65"/>
      <c r="L40" s="55">
        <v>0.0</v>
      </c>
      <c r="M40" s="45">
        <v>0.0</v>
      </c>
      <c r="N40" s="47" t="s">
        <v>632</v>
      </c>
      <c r="O40" s="55">
        <v>0.0</v>
      </c>
      <c r="P40" s="45">
        <v>0.0</v>
      </c>
      <c r="Q40" s="47" t="s">
        <v>633</v>
      </c>
      <c r="R40" s="55">
        <v>0.0</v>
      </c>
      <c r="S40" s="45">
        <v>0.0</v>
      </c>
      <c r="T40" s="47" t="s">
        <v>634</v>
      </c>
      <c r="U40" s="55">
        <v>0.0</v>
      </c>
      <c r="V40" s="40">
        <v>0.0</v>
      </c>
      <c r="W40" s="43"/>
      <c r="X40" s="40">
        <v>0.0</v>
      </c>
      <c r="Y40" s="45">
        <v>0.0</v>
      </c>
      <c r="Z40" s="47" t="s">
        <v>635</v>
      </c>
      <c r="AA40" s="55">
        <v>0.0</v>
      </c>
      <c r="AB40" s="45">
        <v>0.0</v>
      </c>
      <c r="AC40" s="50" t="s">
        <v>636</v>
      </c>
      <c r="AD40" s="55">
        <v>0.0</v>
      </c>
      <c r="AE40" s="45">
        <v>0.0</v>
      </c>
      <c r="AF40" s="47" t="s">
        <v>637</v>
      </c>
      <c r="AG40" s="55">
        <v>0.0</v>
      </c>
      <c r="AH40" s="45">
        <v>0.0</v>
      </c>
      <c r="AI40" s="50" t="s">
        <v>638</v>
      </c>
      <c r="AJ40" s="55">
        <v>0.0</v>
      </c>
      <c r="AK40" s="40">
        <v>0.0</v>
      </c>
      <c r="AL40" s="51"/>
      <c r="AM40" s="40">
        <v>0.0</v>
      </c>
      <c r="AN40" s="45">
        <v>0.0</v>
      </c>
      <c r="AO40" s="47" t="s">
        <v>639</v>
      </c>
      <c r="AP40" s="55">
        <v>0.0</v>
      </c>
      <c r="AQ40" s="45">
        <v>0.0</v>
      </c>
      <c r="AR40" s="47" t="s">
        <v>640</v>
      </c>
      <c r="AS40" s="55">
        <v>0.0</v>
      </c>
      <c r="AT40" s="40">
        <v>0.0</v>
      </c>
      <c r="AU40" s="43"/>
      <c r="AV40" s="40">
        <v>0.0</v>
      </c>
      <c r="AW40" s="45">
        <v>0.0</v>
      </c>
      <c r="AX40" s="47" t="s">
        <v>641</v>
      </c>
      <c r="AY40" s="55">
        <v>0.0</v>
      </c>
      <c r="AZ40" s="45">
        <v>0.0</v>
      </c>
      <c r="BA40" s="47" t="s">
        <v>642</v>
      </c>
      <c r="BB40" s="55">
        <v>0.0</v>
      </c>
      <c r="BC40" s="45">
        <v>0.0</v>
      </c>
      <c r="BD40" s="47" t="s">
        <v>643</v>
      </c>
      <c r="BE40" s="55">
        <v>0.0</v>
      </c>
      <c r="BF40" s="45">
        <v>0.0</v>
      </c>
      <c r="BG40" s="47" t="s">
        <v>644</v>
      </c>
      <c r="BH40" s="55">
        <v>0.0</v>
      </c>
      <c r="BI40" s="45">
        <v>0.0</v>
      </c>
      <c r="BJ40" s="47" t="s">
        <v>645</v>
      </c>
      <c r="BK40" s="55">
        <v>0.0</v>
      </c>
      <c r="BL40" s="40">
        <v>0.0</v>
      </c>
      <c r="BM40" s="51"/>
      <c r="BN40" s="40">
        <v>0.0</v>
      </c>
      <c r="BO40" s="40">
        <v>0.0</v>
      </c>
      <c r="BP40" s="51"/>
      <c r="BQ40" s="40">
        <v>0.0</v>
      </c>
      <c r="BR40" s="40">
        <v>0.0</v>
      </c>
      <c r="BS40" s="51"/>
      <c r="BT40" s="40">
        <v>0.0</v>
      </c>
      <c r="BU40" s="45">
        <v>0.0</v>
      </c>
      <c r="BV40" s="47" t="s">
        <v>646</v>
      </c>
      <c r="BW40" s="55">
        <v>0.0</v>
      </c>
      <c r="BX40" s="40">
        <v>0.0</v>
      </c>
      <c r="BY40" s="43"/>
      <c r="BZ40" s="40">
        <v>0.0</v>
      </c>
      <c r="CA40" s="45">
        <v>0.0</v>
      </c>
      <c r="CB40" s="45" t="s">
        <v>647</v>
      </c>
      <c r="CC40" s="55">
        <v>0.0</v>
      </c>
      <c r="CD40" s="55">
        <v>0.0</v>
      </c>
      <c r="CE40" s="47" t="s">
        <v>648</v>
      </c>
      <c r="CF40" s="55">
        <v>0.0</v>
      </c>
      <c r="CG40" s="45">
        <v>0.0</v>
      </c>
      <c r="CH40" s="50" t="s">
        <v>649</v>
      </c>
      <c r="CI40" s="55">
        <v>0.0</v>
      </c>
      <c r="CJ40" s="40">
        <v>0.0</v>
      </c>
      <c r="CK40" s="38" t="s">
        <v>650</v>
      </c>
      <c r="CL40" s="40">
        <v>0.0</v>
      </c>
      <c r="CM40" s="45">
        <v>0.0</v>
      </c>
      <c r="CN40" s="47" t="s">
        <v>651</v>
      </c>
      <c r="CO40" s="55">
        <v>0.0</v>
      </c>
      <c r="CP40" s="40">
        <v>0.0</v>
      </c>
      <c r="CQ40" s="42" t="s">
        <v>652</v>
      </c>
      <c r="CR40" s="40">
        <v>0.0</v>
      </c>
      <c r="CS40" s="45">
        <v>0.0</v>
      </c>
      <c r="CT40" s="47" t="s">
        <v>653</v>
      </c>
      <c r="CU40" s="55">
        <v>0.0</v>
      </c>
    </row>
    <row r="41">
      <c r="A41" s="14"/>
      <c r="B41" s="2" t="s">
        <v>100</v>
      </c>
      <c r="C41" s="7" t="s">
        <v>101</v>
      </c>
      <c r="D41" s="38">
        <v>1.0</v>
      </c>
      <c r="E41" s="38" t="s">
        <v>654</v>
      </c>
      <c r="F41" s="66">
        <v>100.0</v>
      </c>
      <c r="G41" s="38">
        <v>1.0</v>
      </c>
      <c r="H41" s="38" t="s">
        <v>654</v>
      </c>
      <c r="I41" s="66">
        <v>100.0</v>
      </c>
      <c r="J41" s="38">
        <v>1.0</v>
      </c>
      <c r="K41" s="38" t="s">
        <v>654</v>
      </c>
      <c r="L41" s="66">
        <v>100.0</v>
      </c>
      <c r="M41" s="38">
        <v>1.0</v>
      </c>
      <c r="N41" s="38" t="s">
        <v>655</v>
      </c>
      <c r="O41" s="66">
        <v>100.0</v>
      </c>
      <c r="P41" s="40">
        <v>1.0</v>
      </c>
      <c r="Q41" s="38" t="s">
        <v>654</v>
      </c>
      <c r="R41" s="55">
        <v>100.0</v>
      </c>
      <c r="S41" s="40">
        <v>1.0</v>
      </c>
      <c r="T41" s="38" t="s">
        <v>656</v>
      </c>
      <c r="U41" s="55">
        <v>100.0</v>
      </c>
      <c r="V41" s="40">
        <v>1.0</v>
      </c>
      <c r="W41" s="41" t="s">
        <v>657</v>
      </c>
      <c r="X41" s="55">
        <v>100.0</v>
      </c>
      <c r="Y41" s="40">
        <v>1.0</v>
      </c>
      <c r="Z41" s="38" t="s">
        <v>654</v>
      </c>
      <c r="AA41" s="55">
        <v>100.0</v>
      </c>
      <c r="AB41" s="40">
        <v>1.0</v>
      </c>
      <c r="AC41" s="41" t="s">
        <v>658</v>
      </c>
      <c r="AD41" s="55">
        <v>100.0</v>
      </c>
      <c r="AE41" s="40">
        <v>1.0</v>
      </c>
      <c r="AF41" s="67"/>
      <c r="AG41" s="55">
        <v>100.0</v>
      </c>
      <c r="AH41" s="40">
        <v>1.0</v>
      </c>
      <c r="AI41" s="38" t="s">
        <v>654</v>
      </c>
      <c r="AJ41" s="55">
        <v>100.0</v>
      </c>
      <c r="AK41" s="40">
        <v>1.0</v>
      </c>
      <c r="AL41" s="67"/>
      <c r="AM41" s="55">
        <v>100.0</v>
      </c>
      <c r="AN41" s="40">
        <v>1.0</v>
      </c>
      <c r="AO41" s="38" t="s">
        <v>659</v>
      </c>
      <c r="AP41" s="55">
        <v>100.0</v>
      </c>
      <c r="AQ41" s="40">
        <v>1.0</v>
      </c>
      <c r="AR41" s="38" t="s">
        <v>660</v>
      </c>
      <c r="AS41" s="55">
        <v>100.0</v>
      </c>
      <c r="AT41" s="40">
        <v>1.0</v>
      </c>
      <c r="AU41" s="41" t="s">
        <v>661</v>
      </c>
      <c r="AV41" s="55">
        <v>100.0</v>
      </c>
      <c r="AW41" s="40">
        <v>1.0</v>
      </c>
      <c r="AX41" s="38" t="s">
        <v>662</v>
      </c>
      <c r="AY41" s="55">
        <v>100.0</v>
      </c>
      <c r="AZ41" s="40">
        <v>1.0</v>
      </c>
      <c r="BA41" s="67"/>
      <c r="BB41" s="55">
        <v>100.0</v>
      </c>
      <c r="BC41" s="40">
        <v>1.0</v>
      </c>
      <c r="BD41" s="68"/>
      <c r="BE41" s="55">
        <v>100.0</v>
      </c>
      <c r="BF41" s="40">
        <v>1.0</v>
      </c>
      <c r="BG41" s="68"/>
      <c r="BH41" s="55">
        <v>100.0</v>
      </c>
      <c r="BI41" s="40">
        <v>1.0</v>
      </c>
      <c r="BJ41" s="38" t="s">
        <v>663</v>
      </c>
      <c r="BK41" s="55">
        <v>100.0</v>
      </c>
      <c r="BL41" s="40">
        <v>1.0</v>
      </c>
      <c r="BM41" s="41" t="s">
        <v>664</v>
      </c>
      <c r="BN41" s="55">
        <v>100.0</v>
      </c>
      <c r="BO41" s="40">
        <v>1.0</v>
      </c>
      <c r="BP41" s="68"/>
      <c r="BQ41" s="55">
        <v>100.0</v>
      </c>
      <c r="BR41" s="40">
        <v>1.0</v>
      </c>
      <c r="BS41" s="38" t="s">
        <v>665</v>
      </c>
      <c r="BT41" s="55">
        <v>100.0</v>
      </c>
      <c r="BU41" s="40">
        <v>1.0</v>
      </c>
      <c r="BV41" s="38" t="s">
        <v>666</v>
      </c>
      <c r="BW41" s="55">
        <v>100.0</v>
      </c>
      <c r="BX41" s="40">
        <v>1.0</v>
      </c>
      <c r="BY41" s="41" t="s">
        <v>667</v>
      </c>
      <c r="BZ41" s="55">
        <v>100.0</v>
      </c>
      <c r="CA41" s="40">
        <v>1.0</v>
      </c>
      <c r="CB41" s="68"/>
      <c r="CC41" s="55">
        <v>100.0</v>
      </c>
      <c r="CD41" s="40">
        <v>1.0</v>
      </c>
      <c r="CE41" s="38" t="s">
        <v>668</v>
      </c>
      <c r="CF41" s="55">
        <v>100.0</v>
      </c>
      <c r="CG41" s="40">
        <v>1.0</v>
      </c>
      <c r="CH41" s="41" t="s">
        <v>669</v>
      </c>
      <c r="CI41" s="55">
        <v>100.0</v>
      </c>
      <c r="CJ41" s="40">
        <v>1.0</v>
      </c>
      <c r="CK41" s="51"/>
      <c r="CL41" s="55">
        <v>100.0</v>
      </c>
      <c r="CM41" s="40">
        <v>1.0</v>
      </c>
      <c r="CN41" s="38" t="s">
        <v>670</v>
      </c>
      <c r="CO41" s="55">
        <v>100.0</v>
      </c>
      <c r="CP41" s="40">
        <v>1.0</v>
      </c>
      <c r="CQ41" s="38" t="s">
        <v>671</v>
      </c>
      <c r="CR41" s="55">
        <v>100.0</v>
      </c>
      <c r="CS41" s="40">
        <v>1.0</v>
      </c>
      <c r="CT41" s="69" t="s">
        <v>672</v>
      </c>
      <c r="CU41" s="55">
        <v>100.0</v>
      </c>
    </row>
    <row r="42">
      <c r="A42" s="23" t="s">
        <v>673</v>
      </c>
      <c r="B42" s="24"/>
      <c r="C42" s="24"/>
      <c r="D42" s="70">
        <f>SUM(D3:D41)</f>
        <v>12</v>
      </c>
      <c r="E42" s="70"/>
      <c r="F42" s="70">
        <f>AVERAGE(F3:F41)</f>
        <v>47.72727273</v>
      </c>
      <c r="G42" s="70">
        <f>SUM(G3:G41)</f>
        <v>11</v>
      </c>
      <c r="H42" s="70"/>
      <c r="I42" s="70">
        <f>AVERAGE(I3:I41)</f>
        <v>38.63636364</v>
      </c>
      <c r="J42" s="70">
        <f>SUM(J3:J41)</f>
        <v>11</v>
      </c>
      <c r="K42" s="70"/>
      <c r="L42" s="70">
        <f>AVERAGE(L3:L41)</f>
        <v>36.36363636</v>
      </c>
      <c r="M42" s="70">
        <f>SUM(M3:M41)</f>
        <v>11</v>
      </c>
      <c r="N42" s="70"/>
      <c r="O42" s="70">
        <f>AVERAGE(O3:O41)</f>
        <v>43.18181818</v>
      </c>
      <c r="P42" s="70">
        <f>SUM(P3:P41)</f>
        <v>12</v>
      </c>
      <c r="Q42" s="70"/>
      <c r="R42" s="70">
        <f>AVERAGE(R3:R41)</f>
        <v>43.18181818</v>
      </c>
      <c r="S42" s="70">
        <f>SUM(S3:S41)</f>
        <v>13</v>
      </c>
      <c r="T42" s="70"/>
      <c r="U42" s="70">
        <f>AVERAGE(U3:U41)</f>
        <v>45.45454545</v>
      </c>
      <c r="V42" s="70">
        <f>SUM(V3:V41)</f>
        <v>9</v>
      </c>
      <c r="W42" s="70"/>
      <c r="X42" s="70">
        <f>AVERAGE(X3:X41)</f>
        <v>29.54545455</v>
      </c>
      <c r="Y42" s="70">
        <f>SUM(Y3:Y41)</f>
        <v>11</v>
      </c>
      <c r="Z42" s="70"/>
      <c r="AA42" s="70">
        <f>AVERAGE(AA3:AA41)</f>
        <v>38.63636364</v>
      </c>
      <c r="AB42" s="70">
        <f>SUM(AB3:AB41)</f>
        <v>10</v>
      </c>
      <c r="AC42" s="70"/>
      <c r="AD42" s="70">
        <f>AVERAGE(AD3:AD41)</f>
        <v>38.63636364</v>
      </c>
      <c r="AE42" s="70">
        <f>SUM(AE3:AE41)</f>
        <v>12</v>
      </c>
      <c r="AF42" s="70"/>
      <c r="AG42" s="70">
        <f>AVERAGE(AG3:AG41)</f>
        <v>43.18181818</v>
      </c>
      <c r="AH42" s="70">
        <f>SUM(AH3:AH41)</f>
        <v>11</v>
      </c>
      <c r="AI42" s="70"/>
      <c r="AJ42" s="70">
        <f>AVERAGE(AJ3:AJ41)</f>
        <v>38.63636364</v>
      </c>
      <c r="AK42" s="70">
        <f>SUM(AK3:AK41)</f>
        <v>13</v>
      </c>
      <c r="AL42" s="70"/>
      <c r="AM42" s="70">
        <f>AVERAGE(AM3:AM41)</f>
        <v>52.27272727</v>
      </c>
      <c r="AN42" s="70">
        <f>SUM(AN3:AN41)</f>
        <v>11</v>
      </c>
      <c r="AO42" s="70"/>
      <c r="AP42" s="70">
        <f>AVERAGE(AP3:AP41)</f>
        <v>38.63636364</v>
      </c>
      <c r="AQ42" s="70">
        <f>SUM(AQ3:AQ41)</f>
        <v>15</v>
      </c>
      <c r="AR42" s="70"/>
      <c r="AS42" s="70">
        <f>AVERAGE(AS3:AS41)</f>
        <v>59.09090909</v>
      </c>
      <c r="AT42" s="70">
        <f>SUM(AT3:AT41)</f>
        <v>11</v>
      </c>
      <c r="AU42" s="70"/>
      <c r="AV42" s="70">
        <f>AVERAGE(AV3:AV41)</f>
        <v>38.63636364</v>
      </c>
      <c r="AW42" s="70">
        <f>SUM(AW3:AW41)</f>
        <v>14</v>
      </c>
      <c r="AX42" s="70"/>
      <c r="AY42" s="70">
        <f>AVERAGE(AY3:AY41)</f>
        <v>54.54545455</v>
      </c>
      <c r="AZ42" s="70">
        <f>SUM(AZ3:AZ41)</f>
        <v>15</v>
      </c>
      <c r="BA42" s="70"/>
      <c r="BB42" s="70">
        <f>AVERAGE(BB3:BB41)</f>
        <v>56.81818182</v>
      </c>
      <c r="BC42" s="70">
        <f>SUM(BC3:BC41)</f>
        <v>13</v>
      </c>
      <c r="BD42" s="70"/>
      <c r="BE42" s="70">
        <f>AVERAGE(BE3:BE41)</f>
        <v>45.45454545</v>
      </c>
      <c r="BF42" s="70">
        <f>SUM(BF3:BF41)</f>
        <v>12</v>
      </c>
      <c r="BG42" s="70"/>
      <c r="BH42" s="70">
        <f>AVERAGE(BH3:BH41)</f>
        <v>43.18181818</v>
      </c>
      <c r="BI42" s="70">
        <f>SUM(BI3:BI41)</f>
        <v>10</v>
      </c>
      <c r="BJ42" s="70"/>
      <c r="BK42" s="70">
        <f>AVERAGE(BK3:BK41)</f>
        <v>38.63636364</v>
      </c>
      <c r="BL42" s="70">
        <f>SUM(BL3:BL41)</f>
        <v>10</v>
      </c>
      <c r="BM42" s="70"/>
      <c r="BN42" s="70">
        <f>AVERAGE(BN3:BN41)</f>
        <v>38.63636364</v>
      </c>
      <c r="BO42" s="70">
        <f>SUM(BO3:BO41)</f>
        <v>13</v>
      </c>
      <c r="BP42" s="70"/>
      <c r="BQ42" s="70">
        <f>AVERAGE(BQ3:BQ41)</f>
        <v>52.27272727</v>
      </c>
      <c r="BR42" s="70">
        <f>SUM(BR3:BR41)</f>
        <v>14</v>
      </c>
      <c r="BS42" s="70"/>
      <c r="BT42" s="70">
        <f>AVERAGE(BT3:BT41)</f>
        <v>54.54545455</v>
      </c>
      <c r="BU42" s="70">
        <f>SUM(BU3:BU41)</f>
        <v>12</v>
      </c>
      <c r="BV42" s="70"/>
      <c r="BW42" s="70">
        <f>AVERAGE(BW3:BW41)</f>
        <v>47.72727273</v>
      </c>
      <c r="BX42" s="70">
        <f>SUM(BX3:BX41)</f>
        <v>9</v>
      </c>
      <c r="BY42" s="70"/>
      <c r="BZ42" s="70">
        <f>AVERAGE(BZ3:BZ41)</f>
        <v>29.54545455</v>
      </c>
      <c r="CA42" s="70">
        <f>SUM(CA3:CA41)</f>
        <v>12</v>
      </c>
      <c r="CB42" s="70"/>
      <c r="CC42" s="70">
        <f>AVERAGE(CC3:CC41)</f>
        <v>43.18181818</v>
      </c>
      <c r="CD42" s="70">
        <f>SUM(CD3:CD41)</f>
        <v>12</v>
      </c>
      <c r="CE42" s="70"/>
      <c r="CF42" s="70">
        <f>AVERAGE(CF3:CF41)</f>
        <v>40.90909091</v>
      </c>
      <c r="CG42" s="70">
        <f>SUM(CG3:CG41)</f>
        <v>12</v>
      </c>
      <c r="CH42" s="70"/>
      <c r="CI42" s="70">
        <f>AVERAGE(CI3:CI41)</f>
        <v>43.18181818</v>
      </c>
      <c r="CJ42" s="70">
        <f>SUM(CJ3:CJ41)</f>
        <v>12</v>
      </c>
      <c r="CK42" s="70"/>
      <c r="CL42" s="70">
        <f>AVERAGE(CL3:CL41)</f>
        <v>43.18181818</v>
      </c>
      <c r="CM42" s="70">
        <f>SUM(CM3:CM41)</f>
        <v>11</v>
      </c>
      <c r="CN42" s="70"/>
      <c r="CO42" s="70">
        <f>AVERAGE(CO3:CO41)</f>
        <v>43.18181818</v>
      </c>
      <c r="CP42" s="70">
        <f>SUM(CP3:CP41)</f>
        <v>12</v>
      </c>
      <c r="CQ42" s="70"/>
      <c r="CR42" s="70">
        <f>AVERAGE(CR3:CR41)</f>
        <v>47.72727273</v>
      </c>
      <c r="CS42" s="70">
        <f>SUM(CS3:CS41)</f>
        <v>14</v>
      </c>
      <c r="CT42" s="70"/>
      <c r="CU42" s="70">
        <f>AVERAGE(CU3:CU41)</f>
        <v>50</v>
      </c>
    </row>
    <row r="44">
      <c r="A44" s="23" t="s">
        <v>674</v>
      </c>
      <c r="D44" s="70">
        <f>D42/25*100</f>
        <v>48</v>
      </c>
      <c r="E44" s="70"/>
      <c r="F44" s="70"/>
      <c r="G44" s="70">
        <f>G42/25*100</f>
        <v>44</v>
      </c>
      <c r="H44" s="70"/>
      <c r="I44" s="70"/>
      <c r="J44" s="70">
        <f>J42/25*100</f>
        <v>44</v>
      </c>
      <c r="K44" s="70"/>
      <c r="L44" s="70"/>
      <c r="M44" s="70">
        <f>M42/25*100</f>
        <v>44</v>
      </c>
      <c r="N44" s="70"/>
      <c r="O44" s="70"/>
      <c r="P44" s="70">
        <f>P42/25*100</f>
        <v>48</v>
      </c>
      <c r="Q44" s="70"/>
      <c r="R44" s="70"/>
      <c r="S44" s="70">
        <f>S42/25*100</f>
        <v>52</v>
      </c>
      <c r="T44" s="70"/>
      <c r="U44" s="70"/>
      <c r="V44" s="70">
        <f>V42/25*100</f>
        <v>36</v>
      </c>
      <c r="W44" s="70"/>
      <c r="X44" s="70"/>
      <c r="Y44" s="70">
        <f>Y42/25*100</f>
        <v>44</v>
      </c>
      <c r="Z44" s="70"/>
      <c r="AA44" s="70"/>
      <c r="AB44" s="70">
        <f>AB42/25*100</f>
        <v>40</v>
      </c>
      <c r="AC44" s="70"/>
      <c r="AD44" s="70"/>
      <c r="AE44" s="70">
        <f>AE42/25*100</f>
        <v>48</v>
      </c>
      <c r="AF44" s="70"/>
      <c r="AG44" s="70"/>
      <c r="AH44" s="70">
        <f>AH42/25*100</f>
        <v>44</v>
      </c>
      <c r="AI44" s="70"/>
      <c r="AJ44" s="70"/>
      <c r="AK44" s="70">
        <f>AK42/25*100</f>
        <v>52</v>
      </c>
      <c r="AL44" s="70"/>
      <c r="AM44" s="70"/>
      <c r="AN44" s="70">
        <f>AN42/25*100</f>
        <v>44</v>
      </c>
      <c r="AO44" s="70"/>
      <c r="AP44" s="70"/>
      <c r="AQ44" s="70">
        <f>AQ42/25*100</f>
        <v>60</v>
      </c>
      <c r="AR44" s="70"/>
      <c r="AS44" s="70"/>
      <c r="AT44" s="70">
        <f>AT42/25*100</f>
        <v>44</v>
      </c>
      <c r="AU44" s="70"/>
      <c r="AV44" s="70"/>
      <c r="AW44" s="70">
        <f>AW42/25*100</f>
        <v>56</v>
      </c>
      <c r="AX44" s="70"/>
      <c r="AY44" s="70"/>
      <c r="AZ44" s="70">
        <f>AZ42/25*100</f>
        <v>60</v>
      </c>
      <c r="BA44" s="70"/>
      <c r="BB44" s="70"/>
      <c r="BC44" s="70">
        <f>BC42/25*100</f>
        <v>52</v>
      </c>
      <c r="BD44" s="70"/>
      <c r="BE44" s="70"/>
      <c r="BF44" s="70">
        <f>BF42/25*100</f>
        <v>48</v>
      </c>
      <c r="BG44" s="70"/>
      <c r="BH44" s="70"/>
      <c r="BI44" s="70">
        <f>BI42/25*100</f>
        <v>40</v>
      </c>
      <c r="BJ44" s="70"/>
      <c r="BK44" s="70"/>
      <c r="BL44" s="70">
        <f>BL42/25*100</f>
        <v>40</v>
      </c>
      <c r="BM44" s="70"/>
      <c r="BN44" s="70"/>
      <c r="BO44" s="70">
        <f>BO42/25*100</f>
        <v>52</v>
      </c>
      <c r="BP44" s="70"/>
      <c r="BQ44" s="70"/>
      <c r="BR44" s="70">
        <f>BR42/25*100</f>
        <v>56</v>
      </c>
      <c r="BS44" s="70"/>
      <c r="BT44" s="70"/>
      <c r="BU44" s="70">
        <f>BU42/25*100</f>
        <v>48</v>
      </c>
      <c r="BV44" s="70"/>
      <c r="BW44" s="70"/>
      <c r="BX44" s="70">
        <f>BX42/25*100</f>
        <v>36</v>
      </c>
      <c r="BY44" s="70"/>
      <c r="BZ44" s="70"/>
      <c r="CA44" s="70">
        <f>CA42/25*100</f>
        <v>48</v>
      </c>
      <c r="CB44" s="70"/>
      <c r="CC44" s="70"/>
      <c r="CD44" s="70">
        <f>CD42/25*100</f>
        <v>48</v>
      </c>
      <c r="CE44" s="70"/>
      <c r="CF44" s="70"/>
      <c r="CG44" s="70">
        <f>CG42/25*100</f>
        <v>48</v>
      </c>
      <c r="CH44" s="70"/>
      <c r="CI44" s="70"/>
      <c r="CJ44" s="70">
        <f>CJ42/25*100</f>
        <v>48</v>
      </c>
      <c r="CK44" s="70"/>
      <c r="CL44" s="70"/>
      <c r="CM44" s="70">
        <f>CM42/25*100</f>
        <v>44</v>
      </c>
      <c r="CN44" s="70"/>
      <c r="CO44" s="70"/>
      <c r="CP44" s="70">
        <f>CP42/25*100</f>
        <v>48</v>
      </c>
      <c r="CQ44" s="70"/>
      <c r="CR44" s="70"/>
      <c r="CS44" s="70">
        <f>CS42/25*100</f>
        <v>56</v>
      </c>
      <c r="CT44" s="70"/>
      <c r="CU44" s="70"/>
    </row>
    <row r="45">
      <c r="D45" s="24"/>
      <c r="E45" s="23"/>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row>
    <row r="46">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row>
    <row r="47">
      <c r="A47" s="24"/>
      <c r="B47" s="24"/>
      <c r="C47" s="24"/>
      <c r="D47" s="71"/>
      <c r="E47" s="70"/>
      <c r="F47" s="70"/>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row>
    <row r="48">
      <c r="A48" s="24"/>
      <c r="B48" s="24"/>
      <c r="C48" s="24"/>
      <c r="D48" s="71"/>
      <c r="E48" s="70"/>
      <c r="F48" s="70"/>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row>
    <row r="49">
      <c r="A49" s="24"/>
      <c r="B49" s="24"/>
      <c r="C49" s="24"/>
      <c r="D49" s="71"/>
      <c r="E49" s="70"/>
      <c r="F49" s="70"/>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row>
    <row r="50">
      <c r="C50" s="24"/>
      <c r="D50" s="71"/>
      <c r="E50" s="70"/>
      <c r="F50" s="70"/>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row>
    <row r="52">
      <c r="A52" s="24"/>
      <c r="B52" s="24"/>
      <c r="C52" s="24"/>
      <c r="D52" s="71"/>
      <c r="E52" s="70"/>
      <c r="F52" s="70"/>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row>
    <row r="53">
      <c r="B53" s="24"/>
      <c r="C53" s="24"/>
      <c r="D53" s="71"/>
      <c r="E53" s="70"/>
      <c r="F53" s="70"/>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row>
    <row r="54">
      <c r="C54" s="24"/>
      <c r="D54" s="71"/>
      <c r="E54" s="70"/>
      <c r="F54" s="70"/>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row>
    <row r="55">
      <c r="C55" s="24"/>
      <c r="D55" s="71"/>
      <c r="E55" s="70"/>
      <c r="F55" s="70"/>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row>
    <row r="56">
      <c r="C56" s="24"/>
      <c r="D56" s="72"/>
      <c r="E56" s="70"/>
      <c r="F56" s="70"/>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row>
    <row r="57">
      <c r="C57" s="24"/>
      <c r="D57" s="71"/>
      <c r="E57" s="70"/>
      <c r="F57" s="70"/>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row>
    <row r="58">
      <c r="C58" s="24"/>
      <c r="D58" s="71"/>
      <c r="E58" s="70"/>
      <c r="F58" s="70"/>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row>
    <row r="59">
      <c r="C59" s="24"/>
      <c r="D59" s="71"/>
      <c r="E59" s="70"/>
      <c r="F59" s="70"/>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row>
    <row r="60">
      <c r="A60" s="24"/>
      <c r="B60" s="24"/>
      <c r="C60" s="24"/>
      <c r="D60" s="71"/>
      <c r="E60" s="70"/>
      <c r="F60" s="70"/>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row>
    <row r="61">
      <c r="D61" s="71"/>
      <c r="E61" s="70"/>
      <c r="F61" s="70"/>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row>
    <row r="62">
      <c r="D62" s="71"/>
      <c r="E62" s="70"/>
      <c r="F62" s="70"/>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row>
    <row r="63">
      <c r="D63" s="73"/>
      <c r="E63" s="70"/>
      <c r="F63" s="70"/>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row>
    <row r="64">
      <c r="D64" s="71"/>
      <c r="E64" s="70"/>
      <c r="F64" s="70"/>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row>
    <row r="65">
      <c r="C65" s="24"/>
      <c r="D65" s="71"/>
      <c r="E65" s="70"/>
      <c r="F65" s="70"/>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c r="CT65" s="24"/>
      <c r="CU65" s="24"/>
    </row>
    <row r="66">
      <c r="C66" s="24"/>
      <c r="D66" s="71"/>
      <c r="E66" s="70"/>
      <c r="F66" s="70"/>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row>
    <row r="67">
      <c r="C67" s="24"/>
      <c r="D67" s="71"/>
      <c r="E67" s="70"/>
      <c r="F67" s="70"/>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row>
    <row r="68">
      <c r="C68" s="24"/>
      <c r="D68" s="71"/>
      <c r="E68" s="70"/>
      <c r="F68" s="70"/>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row>
    <row r="69">
      <c r="C69" s="24"/>
      <c r="D69" s="71"/>
      <c r="E69" s="70"/>
      <c r="F69" s="70"/>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row>
    <row r="70">
      <c r="C70" s="24"/>
      <c r="D70" s="71"/>
      <c r="E70" s="70"/>
      <c r="F70" s="70"/>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c r="CT70" s="24"/>
      <c r="CU70" s="24"/>
    </row>
    <row r="71">
      <c r="B71" s="24"/>
      <c r="C71" s="24"/>
      <c r="D71" s="71"/>
      <c r="E71" s="70"/>
      <c r="F71" s="70"/>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row>
    <row r="72">
      <c r="D72" s="71"/>
      <c r="E72" s="70"/>
      <c r="F72" s="70"/>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row>
    <row r="73">
      <c r="A73" s="24"/>
      <c r="B73" s="24"/>
      <c r="C73" s="24"/>
      <c r="D73" s="71"/>
      <c r="E73" s="70"/>
      <c r="F73" s="70"/>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row>
    <row r="74">
      <c r="C74" s="24"/>
      <c r="D74" s="71"/>
      <c r="E74" s="70"/>
      <c r="F74" s="70"/>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c r="CT74" s="24"/>
      <c r="CU74" s="24"/>
    </row>
    <row r="75">
      <c r="B75" s="24"/>
      <c r="C75" s="24"/>
      <c r="D75" s="71"/>
      <c r="E75" s="70"/>
      <c r="F75" s="70"/>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row>
    <row r="76">
      <c r="A76" s="24"/>
      <c r="B76" s="24"/>
      <c r="C76" s="24"/>
      <c r="D76" s="71"/>
      <c r="E76" s="70"/>
      <c r="F76" s="70"/>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row>
    <row r="77">
      <c r="A77" s="24"/>
      <c r="B77" s="24"/>
      <c r="C77" s="24"/>
      <c r="D77" s="71"/>
      <c r="E77" s="70"/>
      <c r="F77" s="70"/>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row>
    <row r="78">
      <c r="A78" s="24"/>
      <c r="B78" s="24"/>
      <c r="C78" s="24"/>
      <c r="D78" s="71"/>
      <c r="E78" s="70"/>
      <c r="F78" s="70"/>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row>
    <row r="79">
      <c r="A79" s="24"/>
      <c r="B79" s="24"/>
      <c r="C79" s="24"/>
      <c r="D79" s="71"/>
      <c r="E79" s="70"/>
      <c r="F79" s="70"/>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row>
    <row r="80">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row>
    <row r="81">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row>
    <row r="82">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row>
    <row r="8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row>
    <row r="85">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row>
    <row r="86">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row>
    <row r="88">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row>
    <row r="89">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row>
    <row r="90">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row>
    <row r="91">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row>
    <row r="92">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row>
    <row r="93">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row>
    <row r="9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row>
    <row r="95">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row>
    <row r="96">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row>
    <row r="97">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row>
    <row r="98">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row>
    <row r="99">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row>
    <row r="100">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row>
    <row r="101">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row>
    <row r="103">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row>
    <row r="10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row>
    <row r="105">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row>
    <row r="106">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row>
    <row r="107">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row>
    <row r="108">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row>
    <row r="109">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row>
    <row r="110">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row>
    <row r="111">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row>
    <row r="112">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row>
    <row r="113">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row>
    <row r="11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row>
    <row r="115">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row>
    <row r="116">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row>
    <row r="117">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row>
    <row r="118">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row>
    <row r="119">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row>
    <row r="120">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row>
    <row r="121">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row>
    <row r="122">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row>
    <row r="123">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row>
    <row r="1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row>
    <row r="125">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row>
    <row r="126">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row>
    <row r="127">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row>
    <row r="128">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row>
    <row r="130">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row>
    <row r="131">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row>
    <row r="132">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row>
    <row r="133">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row>
    <row r="13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row>
    <row r="136">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row>
    <row r="138">
      <c r="A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row>
    <row r="141">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row>
    <row r="142">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row>
    <row r="143">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row>
    <row r="14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row>
    <row r="145">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row>
    <row r="147">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row>
    <row r="148">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row>
    <row r="149">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row>
    <row r="151">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row>
    <row r="152">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row>
    <row r="153">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row>
    <row r="15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row>
    <row r="155">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row>
    <row r="156">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row>
    <row r="157">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row>
    <row r="158">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row>
    <row r="159">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row>
    <row r="160">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row>
    <row r="161">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row>
    <row r="162">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row>
    <row r="163">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row>
    <row r="16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row>
    <row r="166">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row>
    <row r="167">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row>
    <row r="168">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row>
    <row r="169">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row>
    <row r="170">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row>
    <row r="171">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row>
    <row r="172">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row>
    <row r="173">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row>
    <row r="17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row>
    <row r="175">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row>
    <row r="176">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row>
    <row r="177">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row>
    <row r="178">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row>
    <row r="179">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row>
    <row r="18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row>
    <row r="181">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row>
    <row r="182">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row>
    <row r="183">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row>
    <row r="18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row>
    <row r="185">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c r="CT185" s="24"/>
      <c r="CU185" s="24"/>
    </row>
    <row r="186">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row>
    <row r="187">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row>
    <row r="188">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row>
    <row r="189">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row>
    <row r="190">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row>
    <row r="191">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row>
    <row r="193">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c r="CT193" s="24"/>
      <c r="CU193" s="24"/>
    </row>
    <row r="19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row>
    <row r="195">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row>
    <row r="196">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row>
    <row r="197">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row>
    <row r="199">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row>
    <row r="201">
      <c r="A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row>
    <row r="20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row>
    <row r="205">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c r="CT205" s="24"/>
      <c r="CU205" s="24"/>
    </row>
    <row r="206">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c r="CT206" s="24"/>
      <c r="CU206" s="24"/>
    </row>
    <row r="207">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row>
    <row r="208">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c r="CT209" s="24"/>
      <c r="CU209" s="24"/>
    </row>
    <row r="210">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row>
    <row r="211">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row>
    <row r="212">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c r="CT212" s="24"/>
      <c r="CU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row>
    <row r="21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c r="CT214" s="24"/>
      <c r="CU214" s="24"/>
    </row>
    <row r="215">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row>
    <row r="216">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row>
    <row r="217">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c r="CT217" s="24"/>
      <c r="CU217" s="24"/>
    </row>
    <row r="218">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c r="CT218" s="24"/>
      <c r="CU218" s="24"/>
    </row>
    <row r="219">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row>
    <row r="220">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c r="CT220" s="24"/>
      <c r="CU220" s="24"/>
    </row>
    <row r="221">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c r="CT221" s="24"/>
      <c r="CU221" s="24"/>
    </row>
    <row r="222">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row>
    <row r="223">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row>
    <row r="2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row>
    <row r="225">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row>
    <row r="226">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c r="CT226" s="24"/>
      <c r="CU226" s="24"/>
    </row>
    <row r="227">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row>
    <row r="229">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row>
    <row r="230">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row>
    <row r="231">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row>
    <row r="232">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c r="CT232" s="24"/>
      <c r="CU232" s="24"/>
    </row>
    <row r="233">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c r="CT233" s="24"/>
      <c r="CU233" s="24"/>
    </row>
    <row r="23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row>
    <row r="235">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row>
    <row r="236">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c r="CT236" s="24"/>
      <c r="CU236" s="24"/>
    </row>
    <row r="237">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row>
    <row r="238">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c r="CT238" s="24"/>
      <c r="CU238" s="24"/>
    </row>
    <row r="239">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row>
    <row r="240">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row>
    <row r="241">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c r="CT241" s="24"/>
      <c r="CU241" s="24"/>
    </row>
    <row r="242">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c r="CT242" s="24"/>
      <c r="CU242" s="24"/>
    </row>
    <row r="243">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row>
    <row r="24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c r="CT244" s="24"/>
      <c r="CU244" s="24"/>
    </row>
    <row r="245">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c r="CT245" s="24"/>
      <c r="CU245" s="24"/>
    </row>
    <row r="246">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row>
    <row r="247">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row>
    <row r="248">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c r="CT248" s="24"/>
      <c r="CU248" s="24"/>
    </row>
    <row r="249">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row>
    <row r="250">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row>
    <row r="251">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c r="CT251" s="24"/>
      <c r="CU251" s="24"/>
    </row>
    <row r="252">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row>
    <row r="253">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c r="CT253" s="24"/>
      <c r="CU253" s="24"/>
    </row>
    <row r="25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c r="CT254" s="24"/>
      <c r="CU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row>
    <row r="256">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c r="CT256" s="24"/>
      <c r="CU256" s="24"/>
    </row>
    <row r="257">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c r="CT257" s="24"/>
      <c r="CU257" s="24"/>
    </row>
    <row r="258">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row>
    <row r="259">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c r="CT259" s="24"/>
      <c r="CU259" s="24"/>
    </row>
    <row r="260">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c r="CT260" s="24"/>
      <c r="CU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row>
    <row r="262">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row>
    <row r="264">
      <c r="A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c r="CT265" s="24"/>
      <c r="CU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c r="CT266" s="24"/>
      <c r="CU266" s="24"/>
    </row>
    <row r="267">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row>
    <row r="268">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c r="CT268" s="24"/>
      <c r="CU268" s="24"/>
    </row>
    <row r="269">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c r="CT269" s="24"/>
      <c r="CU269" s="24"/>
    </row>
    <row r="270">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row>
    <row r="271">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c r="CT272" s="24"/>
      <c r="CU272" s="24"/>
    </row>
    <row r="273">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row>
    <row r="27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c r="CT274" s="24"/>
      <c r="CU274" s="24"/>
    </row>
    <row r="275">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row>
    <row r="277">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c r="CO277" s="24"/>
      <c r="CP277" s="24"/>
      <c r="CQ277" s="24"/>
      <c r="CR277" s="24"/>
      <c r="CS277" s="24"/>
      <c r="CT277" s="24"/>
      <c r="CU277" s="24"/>
    </row>
    <row r="278">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4"/>
      <c r="CO278" s="24"/>
      <c r="CP278" s="24"/>
      <c r="CQ278" s="24"/>
      <c r="CR278" s="24"/>
      <c r="CS278" s="24"/>
      <c r="CT278" s="24"/>
      <c r="CU278" s="24"/>
    </row>
    <row r="279">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row>
    <row r="280">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c r="CT280" s="24"/>
      <c r="CU280" s="24"/>
    </row>
    <row r="281">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c r="CT281" s="24"/>
      <c r="CU281" s="24"/>
    </row>
    <row r="282">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row>
    <row r="283">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row>
    <row r="28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row>
    <row r="285">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c r="CR285" s="24"/>
      <c r="CS285" s="24"/>
      <c r="CT285" s="24"/>
      <c r="CU285" s="24"/>
    </row>
    <row r="286">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c r="CM286" s="24"/>
      <c r="CN286" s="24"/>
      <c r="CO286" s="24"/>
      <c r="CP286" s="24"/>
      <c r="CQ286" s="24"/>
      <c r="CR286" s="24"/>
      <c r="CS286" s="24"/>
      <c r="CT286" s="24"/>
      <c r="CU286" s="24"/>
    </row>
    <row r="287">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row>
    <row r="288">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row>
    <row r="289">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c r="CR289" s="24"/>
      <c r="CS289" s="24"/>
      <c r="CT289" s="24"/>
      <c r="CU289" s="24"/>
    </row>
    <row r="290">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c r="CM290" s="24"/>
      <c r="CN290" s="24"/>
      <c r="CO290" s="24"/>
      <c r="CP290" s="24"/>
      <c r="CQ290" s="24"/>
      <c r="CR290" s="24"/>
      <c r="CS290" s="24"/>
      <c r="CT290" s="24"/>
      <c r="CU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row>
    <row r="292">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c r="CM292" s="24"/>
      <c r="CN292" s="24"/>
      <c r="CO292" s="24"/>
      <c r="CP292" s="24"/>
      <c r="CQ292" s="24"/>
      <c r="CR292" s="24"/>
      <c r="CS292" s="24"/>
      <c r="CT292" s="24"/>
      <c r="CU292" s="24"/>
    </row>
    <row r="293">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c r="CR293" s="24"/>
      <c r="CS293" s="24"/>
      <c r="CT293" s="24"/>
      <c r="CU293" s="24"/>
    </row>
    <row r="29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row>
    <row r="295">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c r="CR295" s="24"/>
      <c r="CS295" s="24"/>
      <c r="CT295" s="24"/>
      <c r="CU295" s="24"/>
    </row>
    <row r="296">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c r="CT296" s="24"/>
      <c r="CU296" s="24"/>
    </row>
    <row r="297">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row>
    <row r="298">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c r="CM298" s="24"/>
      <c r="CN298" s="24"/>
      <c r="CO298" s="24"/>
      <c r="CP298" s="24"/>
      <c r="CQ298" s="24"/>
      <c r="CR298" s="24"/>
      <c r="CS298" s="24"/>
      <c r="CT298" s="24"/>
      <c r="CU298" s="24"/>
    </row>
    <row r="299">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row>
    <row r="300">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row>
    <row r="301">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c r="CR301" s="24"/>
      <c r="CS301" s="24"/>
      <c r="CT301" s="24"/>
      <c r="CU301" s="24"/>
    </row>
    <row r="302">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c r="CM302" s="24"/>
      <c r="CN302" s="24"/>
      <c r="CO302" s="24"/>
      <c r="CP302" s="24"/>
      <c r="CQ302" s="24"/>
      <c r="CR302" s="24"/>
      <c r="CS302" s="24"/>
      <c r="CT302" s="24"/>
      <c r="CU302" s="24"/>
    </row>
    <row r="303">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row>
    <row r="30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c r="CM304" s="24"/>
      <c r="CN304" s="24"/>
      <c r="CO304" s="24"/>
      <c r="CP304" s="24"/>
      <c r="CQ304" s="24"/>
      <c r="CR304" s="24"/>
      <c r="CS304" s="24"/>
      <c r="CT304" s="24"/>
      <c r="CU304" s="24"/>
    </row>
    <row r="305">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c r="CO305" s="24"/>
      <c r="CP305" s="24"/>
      <c r="CQ305" s="24"/>
      <c r="CR305" s="24"/>
      <c r="CS305" s="24"/>
      <c r="CT305" s="24"/>
      <c r="CU305" s="24"/>
    </row>
    <row r="306">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row>
    <row r="307">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row>
    <row r="308">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c r="CM308" s="24"/>
      <c r="CN308" s="24"/>
      <c r="CO308" s="24"/>
      <c r="CP308" s="24"/>
      <c r="CQ308" s="24"/>
      <c r="CR308" s="24"/>
      <c r="CS308" s="24"/>
      <c r="CT308" s="24"/>
      <c r="CU308" s="24"/>
    </row>
    <row r="309">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row>
    <row r="310">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c r="CM310" s="24"/>
      <c r="CN310" s="24"/>
      <c r="CO310" s="24"/>
      <c r="CP310" s="24"/>
      <c r="CQ310" s="24"/>
      <c r="CR310" s="24"/>
      <c r="CS310" s="24"/>
      <c r="CT310" s="24"/>
      <c r="CU310" s="24"/>
    </row>
    <row r="311">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c r="CR311" s="24"/>
      <c r="CS311" s="24"/>
      <c r="CT311" s="24"/>
      <c r="CU311" s="24"/>
    </row>
    <row r="312">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row>
    <row r="313">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row>
    <row r="31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row>
    <row r="315">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row>
    <row r="316">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c r="CT316" s="24"/>
      <c r="CU316" s="24"/>
    </row>
    <row r="317">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c r="CR317" s="24"/>
      <c r="CS317" s="24"/>
      <c r="CT317" s="24"/>
      <c r="CU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row>
    <row r="319">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row>
    <row r="320">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4"/>
      <c r="CO320" s="24"/>
      <c r="CP320" s="24"/>
      <c r="CQ320" s="24"/>
      <c r="CR320" s="24"/>
      <c r="CS320" s="24"/>
      <c r="CT320" s="24"/>
      <c r="CU320" s="24"/>
    </row>
    <row r="321">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row>
    <row r="322">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4"/>
      <c r="CO322" s="24"/>
      <c r="CP322" s="24"/>
      <c r="CQ322" s="24"/>
      <c r="CR322" s="24"/>
      <c r="CS322" s="24"/>
      <c r="CT322" s="24"/>
      <c r="CU322" s="24"/>
    </row>
    <row r="323">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c r="CT323" s="24"/>
      <c r="CU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row>
    <row r="325">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c r="CR325" s="24"/>
      <c r="CS325" s="24"/>
      <c r="CT325" s="24"/>
      <c r="CU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c r="CM326" s="24"/>
      <c r="CN326" s="24"/>
      <c r="CO326" s="24"/>
      <c r="CP326" s="24"/>
      <c r="CQ326" s="24"/>
      <c r="CR326" s="24"/>
      <c r="CS326" s="24"/>
      <c r="CT326" s="24"/>
      <c r="CU326" s="24"/>
    </row>
    <row r="327">
      <c r="A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c r="CO328" s="24"/>
      <c r="CP328" s="24"/>
      <c r="CQ328" s="24"/>
      <c r="CR328" s="24"/>
      <c r="CS328" s="24"/>
      <c r="CT328" s="24"/>
      <c r="CU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c r="CR329" s="24"/>
      <c r="CS329" s="24"/>
      <c r="CT329" s="24"/>
      <c r="CU329" s="24"/>
    </row>
    <row r="330">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row>
    <row r="331">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row>
    <row r="332">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row>
    <row r="333">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row>
    <row r="33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c r="CM334" s="24"/>
      <c r="CN334" s="24"/>
      <c r="CO334" s="24"/>
      <c r="CP334" s="24"/>
      <c r="CQ334" s="24"/>
      <c r="CR334" s="24"/>
      <c r="CS334" s="24"/>
      <c r="CT334" s="24"/>
      <c r="CU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row>
    <row r="336">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row>
    <row r="337">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c r="CR337" s="24"/>
      <c r="CS337" s="24"/>
      <c r="CT337" s="24"/>
      <c r="CU337" s="24"/>
    </row>
    <row r="338">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c r="CT338" s="24"/>
      <c r="CU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row>
    <row r="340">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c r="CM340" s="24"/>
      <c r="CN340" s="24"/>
      <c r="CO340" s="24"/>
      <c r="CP340" s="24"/>
      <c r="CQ340" s="24"/>
      <c r="CR340" s="24"/>
      <c r="CS340" s="24"/>
      <c r="CT340" s="24"/>
      <c r="CU340" s="24"/>
    </row>
    <row r="341">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c r="CR341" s="24"/>
      <c r="CS341" s="24"/>
      <c r="CT341" s="24"/>
      <c r="CU341" s="24"/>
    </row>
    <row r="342">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row>
    <row r="343">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c r="CR343" s="24"/>
      <c r="CS343" s="24"/>
      <c r="CT343" s="24"/>
      <c r="CU343" s="24"/>
    </row>
    <row r="34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c r="CM344" s="24"/>
      <c r="CN344" s="24"/>
      <c r="CO344" s="24"/>
      <c r="CP344" s="24"/>
      <c r="CQ344" s="24"/>
      <c r="CR344" s="24"/>
      <c r="CS344" s="24"/>
      <c r="CT344" s="24"/>
      <c r="CU344" s="24"/>
    </row>
    <row r="345">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row>
    <row r="346">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c r="CM346" s="24"/>
      <c r="CN346" s="24"/>
      <c r="CO346" s="24"/>
      <c r="CP346" s="24"/>
      <c r="CQ346" s="24"/>
      <c r="CR346" s="24"/>
      <c r="CS346" s="24"/>
      <c r="CT346" s="24"/>
      <c r="CU346" s="24"/>
    </row>
    <row r="347">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row>
    <row r="348">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row>
    <row r="349">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c r="CR349" s="24"/>
      <c r="CS349" s="24"/>
      <c r="CT349" s="24"/>
      <c r="CU349" s="24"/>
    </row>
    <row r="350">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c r="CM350" s="24"/>
      <c r="CN350" s="24"/>
      <c r="CO350" s="24"/>
      <c r="CP350" s="24"/>
      <c r="CQ350" s="24"/>
      <c r="CR350" s="24"/>
      <c r="CS350" s="24"/>
      <c r="CT350" s="24"/>
      <c r="CU350" s="24"/>
    </row>
    <row r="351">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row>
    <row r="352">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c r="CM352" s="24"/>
      <c r="CN352" s="24"/>
      <c r="CO352" s="24"/>
      <c r="CP352" s="24"/>
      <c r="CQ352" s="24"/>
      <c r="CR352" s="24"/>
      <c r="CS352" s="24"/>
      <c r="CT352" s="24"/>
      <c r="CU352" s="24"/>
    </row>
    <row r="353">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c r="CR353" s="24"/>
      <c r="CS353" s="24"/>
      <c r="CT353" s="24"/>
      <c r="CU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c r="CO354" s="24"/>
      <c r="CP354" s="24"/>
      <c r="CQ354" s="24"/>
      <c r="CR354" s="24"/>
      <c r="CS354" s="24"/>
      <c r="CT354" s="24"/>
      <c r="CU354" s="24"/>
    </row>
    <row r="355">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c r="CR355" s="24"/>
      <c r="CS355" s="24"/>
      <c r="CT355" s="24"/>
      <c r="CU355" s="24"/>
    </row>
    <row r="356">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c r="CG356" s="24"/>
      <c r="CH356" s="24"/>
      <c r="CI356" s="24"/>
      <c r="CJ356" s="24"/>
      <c r="CK356" s="24"/>
      <c r="CL356" s="24"/>
      <c r="CM356" s="24"/>
      <c r="CN356" s="24"/>
      <c r="CO356" s="24"/>
      <c r="CP356" s="24"/>
      <c r="CQ356" s="24"/>
      <c r="CR356" s="24"/>
      <c r="CS356" s="24"/>
      <c r="CT356" s="24"/>
      <c r="CU356" s="24"/>
    </row>
    <row r="357">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row>
    <row r="358">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c r="CM358" s="24"/>
      <c r="CN358" s="24"/>
      <c r="CO358" s="24"/>
      <c r="CP358" s="24"/>
      <c r="CQ358" s="24"/>
      <c r="CR358" s="24"/>
      <c r="CS358" s="24"/>
      <c r="CT358" s="24"/>
      <c r="CU358" s="24"/>
    </row>
    <row r="359">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c r="CR359" s="24"/>
      <c r="CS359" s="24"/>
      <c r="CT359" s="24"/>
      <c r="CU359" s="24"/>
    </row>
    <row r="360">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4"/>
    </row>
    <row r="361">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c r="CR361" s="24"/>
      <c r="CS361" s="24"/>
      <c r="CT361" s="24"/>
      <c r="CU361" s="24"/>
    </row>
    <row r="362">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c r="CG362" s="24"/>
      <c r="CH362" s="24"/>
      <c r="CI362" s="24"/>
      <c r="CJ362" s="24"/>
      <c r="CK362" s="24"/>
      <c r="CL362" s="24"/>
      <c r="CM362" s="24"/>
      <c r="CN362" s="24"/>
      <c r="CO362" s="24"/>
      <c r="CP362" s="24"/>
      <c r="CQ362" s="24"/>
      <c r="CR362" s="24"/>
      <c r="CS362" s="24"/>
      <c r="CT362" s="24"/>
      <c r="CU362" s="24"/>
    </row>
    <row r="363">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row>
    <row r="36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c r="CG364" s="24"/>
      <c r="CH364" s="24"/>
      <c r="CI364" s="24"/>
      <c r="CJ364" s="24"/>
      <c r="CK364" s="24"/>
      <c r="CL364" s="24"/>
      <c r="CM364" s="24"/>
      <c r="CN364" s="24"/>
      <c r="CO364" s="24"/>
      <c r="CP364" s="24"/>
      <c r="CQ364" s="24"/>
      <c r="CR364" s="24"/>
      <c r="CS364" s="24"/>
      <c r="CT364" s="24"/>
      <c r="CU364" s="24"/>
    </row>
    <row r="365">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c r="CR365" s="24"/>
      <c r="CS365" s="24"/>
      <c r="CT365" s="24"/>
      <c r="CU365" s="24"/>
    </row>
    <row r="366">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row>
    <row r="367">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c r="CR367" s="24"/>
      <c r="CS367" s="24"/>
      <c r="CT367" s="24"/>
      <c r="CU367" s="24"/>
    </row>
    <row r="368">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c r="BX368" s="24"/>
      <c r="BY368" s="24"/>
      <c r="BZ368" s="24"/>
      <c r="CA368" s="24"/>
      <c r="CB368" s="24"/>
      <c r="CC368" s="24"/>
      <c r="CD368" s="24"/>
      <c r="CE368" s="24"/>
      <c r="CF368" s="24"/>
      <c r="CG368" s="24"/>
      <c r="CH368" s="24"/>
      <c r="CI368" s="24"/>
      <c r="CJ368" s="24"/>
      <c r="CK368" s="24"/>
      <c r="CL368" s="24"/>
      <c r="CM368" s="24"/>
      <c r="CN368" s="24"/>
      <c r="CO368" s="24"/>
      <c r="CP368" s="24"/>
      <c r="CQ368" s="24"/>
      <c r="CR368" s="24"/>
      <c r="CS368" s="24"/>
      <c r="CT368" s="24"/>
      <c r="CU368" s="24"/>
    </row>
    <row r="369">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c r="CR369" s="24"/>
      <c r="CS369" s="24"/>
      <c r="CT369" s="24"/>
      <c r="CU369" s="24"/>
    </row>
    <row r="370">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c r="BX370" s="24"/>
      <c r="BY370" s="24"/>
      <c r="BZ370" s="24"/>
      <c r="CA370" s="24"/>
      <c r="CB370" s="24"/>
      <c r="CC370" s="24"/>
      <c r="CD370" s="24"/>
      <c r="CE370" s="24"/>
      <c r="CF370" s="24"/>
      <c r="CG370" s="24"/>
      <c r="CH370" s="24"/>
      <c r="CI370" s="24"/>
      <c r="CJ370" s="24"/>
      <c r="CK370" s="24"/>
      <c r="CL370" s="24"/>
      <c r="CM370" s="24"/>
      <c r="CN370" s="24"/>
      <c r="CO370" s="24"/>
      <c r="CP370" s="24"/>
      <c r="CQ370" s="24"/>
      <c r="CR370" s="24"/>
      <c r="CS370" s="24"/>
      <c r="CT370" s="24"/>
      <c r="CU370" s="24"/>
    </row>
    <row r="371">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c r="CR371" s="24"/>
      <c r="CS371" s="24"/>
      <c r="CT371" s="24"/>
      <c r="CU371" s="24"/>
    </row>
    <row r="372">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row>
    <row r="373">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c r="CR373" s="24"/>
      <c r="CS373" s="24"/>
      <c r="CT373" s="24"/>
      <c r="CU373" s="24"/>
    </row>
    <row r="37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c r="BX374" s="24"/>
      <c r="BY374" s="24"/>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row>
    <row r="375">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row>
    <row r="376">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c r="BX376" s="24"/>
      <c r="BY376" s="24"/>
      <c r="BZ376" s="24"/>
      <c r="CA376" s="24"/>
      <c r="CB376" s="24"/>
      <c r="CC376" s="24"/>
      <c r="CD376" s="24"/>
      <c r="CE376" s="24"/>
      <c r="CF376" s="24"/>
      <c r="CG376" s="24"/>
      <c r="CH376" s="24"/>
      <c r="CI376" s="24"/>
      <c r="CJ376" s="24"/>
      <c r="CK376" s="24"/>
      <c r="CL376" s="24"/>
      <c r="CM376" s="24"/>
      <c r="CN376" s="24"/>
      <c r="CO376" s="24"/>
      <c r="CP376" s="24"/>
      <c r="CQ376" s="24"/>
      <c r="CR376" s="24"/>
      <c r="CS376" s="24"/>
      <c r="CT376" s="24"/>
      <c r="CU376" s="24"/>
    </row>
    <row r="377">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c r="CR377" s="24"/>
      <c r="CS377" s="24"/>
      <c r="CT377" s="24"/>
      <c r="CU377" s="24"/>
    </row>
    <row r="378">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row>
    <row r="379">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c r="CR379" s="24"/>
      <c r="CS379" s="24"/>
      <c r="CT379" s="24"/>
      <c r="CU379" s="24"/>
    </row>
    <row r="380">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c r="BX380" s="24"/>
      <c r="BY380" s="24"/>
      <c r="BZ380" s="24"/>
      <c r="CA380" s="24"/>
      <c r="CB380" s="24"/>
      <c r="CC380" s="24"/>
      <c r="CD380" s="24"/>
      <c r="CE380" s="24"/>
      <c r="CF380" s="24"/>
      <c r="CG380" s="24"/>
      <c r="CH380" s="24"/>
      <c r="CI380" s="24"/>
      <c r="CJ380" s="24"/>
      <c r="CK380" s="24"/>
      <c r="CL380" s="24"/>
      <c r="CM380" s="24"/>
      <c r="CN380" s="24"/>
      <c r="CO380" s="24"/>
      <c r="CP380" s="24"/>
      <c r="CQ380" s="24"/>
      <c r="CR380" s="24"/>
      <c r="CS380" s="24"/>
      <c r="CT380" s="24"/>
      <c r="CU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row>
    <row r="382">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c r="BX382" s="24"/>
      <c r="BY382" s="24"/>
      <c r="BZ382" s="24"/>
      <c r="CA382" s="24"/>
      <c r="CB382" s="24"/>
      <c r="CC382" s="24"/>
      <c r="CD382" s="24"/>
      <c r="CE382" s="24"/>
      <c r="CF382" s="24"/>
      <c r="CG382" s="24"/>
      <c r="CH382" s="24"/>
      <c r="CI382" s="24"/>
      <c r="CJ382" s="24"/>
      <c r="CK382" s="24"/>
      <c r="CL382" s="24"/>
      <c r="CM382" s="24"/>
      <c r="CN382" s="24"/>
      <c r="CO382" s="24"/>
      <c r="CP382" s="24"/>
      <c r="CQ382" s="24"/>
      <c r="CR382" s="24"/>
      <c r="CS382" s="24"/>
      <c r="CT382" s="24"/>
      <c r="CU382" s="24"/>
    </row>
    <row r="383">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row>
    <row r="38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row>
    <row r="385">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c r="CR385" s="24"/>
      <c r="CS385" s="24"/>
      <c r="CT385" s="24"/>
      <c r="CU385" s="24"/>
    </row>
    <row r="386">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c r="BX386" s="24"/>
      <c r="BY386" s="24"/>
      <c r="BZ386" s="24"/>
      <c r="CA386" s="24"/>
      <c r="CB386" s="24"/>
      <c r="CC386" s="24"/>
      <c r="CD386" s="24"/>
      <c r="CE386" s="24"/>
      <c r="CF386" s="24"/>
      <c r="CG386" s="24"/>
      <c r="CH386" s="24"/>
      <c r="CI386" s="24"/>
      <c r="CJ386" s="24"/>
      <c r="CK386" s="24"/>
      <c r="CL386" s="24"/>
      <c r="CM386" s="24"/>
      <c r="CN386" s="24"/>
      <c r="CO386" s="24"/>
      <c r="CP386" s="24"/>
      <c r="CQ386" s="24"/>
      <c r="CR386" s="24"/>
      <c r="CS386" s="24"/>
      <c r="CT386" s="24"/>
      <c r="CU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row>
    <row r="388">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c r="BX388" s="24"/>
      <c r="BY388" s="24"/>
      <c r="BZ388" s="24"/>
      <c r="CA388" s="24"/>
      <c r="CB388" s="24"/>
      <c r="CC388" s="24"/>
      <c r="CD388" s="24"/>
      <c r="CE388" s="24"/>
      <c r="CF388" s="24"/>
      <c r="CG388" s="24"/>
      <c r="CH388" s="24"/>
      <c r="CI388" s="24"/>
      <c r="CJ388" s="24"/>
      <c r="CK388" s="24"/>
      <c r="CL388" s="24"/>
      <c r="CM388" s="24"/>
      <c r="CN388" s="24"/>
      <c r="CO388" s="24"/>
      <c r="CP388" s="24"/>
      <c r="CQ388" s="24"/>
      <c r="CR388" s="24"/>
      <c r="CS388" s="24"/>
      <c r="CT388" s="24"/>
      <c r="CU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c r="CM389" s="24"/>
      <c r="CN389" s="24"/>
      <c r="CO389" s="24"/>
      <c r="CP389" s="24"/>
      <c r="CQ389" s="24"/>
      <c r="CR389" s="24"/>
      <c r="CS389" s="24"/>
      <c r="CT389" s="24"/>
      <c r="CU389" s="24"/>
    </row>
    <row r="390">
      <c r="A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c r="CM390" s="24"/>
      <c r="CN390" s="24"/>
      <c r="CO390" s="24"/>
      <c r="CP390" s="24"/>
      <c r="CQ390" s="24"/>
      <c r="CR390" s="24"/>
      <c r="CS390" s="24"/>
      <c r="CT390" s="24"/>
      <c r="CU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c r="CR391" s="24"/>
      <c r="CS391" s="24"/>
      <c r="CT391" s="24"/>
      <c r="CU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c r="BX392" s="24"/>
      <c r="BY392" s="24"/>
      <c r="BZ392" s="24"/>
      <c r="CA392" s="24"/>
      <c r="CB392" s="24"/>
      <c r="CC392" s="24"/>
      <c r="CD392" s="24"/>
      <c r="CE392" s="24"/>
      <c r="CF392" s="24"/>
      <c r="CG392" s="24"/>
      <c r="CH392" s="24"/>
      <c r="CI392" s="24"/>
      <c r="CJ392" s="24"/>
      <c r="CK392" s="24"/>
      <c r="CL392" s="24"/>
      <c r="CM392" s="24"/>
      <c r="CN392" s="24"/>
      <c r="CO392" s="24"/>
      <c r="CP392" s="24"/>
      <c r="CQ392" s="24"/>
      <c r="CR392" s="24"/>
      <c r="CS392" s="24"/>
      <c r="CT392" s="24"/>
      <c r="CU392" s="24"/>
    </row>
    <row r="393">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row>
    <row r="39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c r="BX394" s="24"/>
      <c r="BY394" s="24"/>
      <c r="BZ394" s="24"/>
      <c r="CA394" s="24"/>
      <c r="CB394" s="24"/>
      <c r="CC394" s="24"/>
      <c r="CD394" s="24"/>
      <c r="CE394" s="24"/>
      <c r="CF394" s="24"/>
      <c r="CG394" s="24"/>
      <c r="CH394" s="24"/>
      <c r="CI394" s="24"/>
      <c r="CJ394" s="24"/>
      <c r="CK394" s="24"/>
      <c r="CL394" s="24"/>
      <c r="CM394" s="24"/>
      <c r="CN394" s="24"/>
      <c r="CO394" s="24"/>
      <c r="CP394" s="24"/>
      <c r="CQ394" s="24"/>
      <c r="CR394" s="24"/>
      <c r="CS394" s="24"/>
      <c r="CT394" s="24"/>
      <c r="CU394" s="24"/>
    </row>
    <row r="395">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row>
    <row r="396">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row>
    <row r="397">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c r="CR397" s="24"/>
      <c r="CS397" s="24"/>
      <c r="CT397" s="24"/>
      <c r="CU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c r="BX398" s="24"/>
      <c r="BY398" s="24"/>
      <c r="BZ398" s="24"/>
      <c r="CA398" s="24"/>
      <c r="CB398" s="24"/>
      <c r="CC398" s="24"/>
      <c r="CD398" s="24"/>
      <c r="CE398" s="24"/>
      <c r="CF398" s="24"/>
      <c r="CG398" s="24"/>
      <c r="CH398" s="24"/>
      <c r="CI398" s="24"/>
      <c r="CJ398" s="24"/>
      <c r="CK398" s="24"/>
      <c r="CL398" s="24"/>
      <c r="CM398" s="24"/>
      <c r="CN398" s="24"/>
      <c r="CO398" s="24"/>
      <c r="CP398" s="24"/>
      <c r="CQ398" s="24"/>
      <c r="CR398" s="24"/>
      <c r="CS398" s="24"/>
      <c r="CT398" s="24"/>
      <c r="CU398" s="24"/>
    </row>
    <row r="399">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row>
    <row r="400">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c r="BX400" s="24"/>
      <c r="BY400" s="24"/>
      <c r="BZ400" s="24"/>
      <c r="CA400" s="24"/>
      <c r="CB400" s="24"/>
      <c r="CC400" s="24"/>
      <c r="CD400" s="24"/>
      <c r="CE400" s="24"/>
      <c r="CF400" s="24"/>
      <c r="CG400" s="24"/>
      <c r="CH400" s="24"/>
      <c r="CI400" s="24"/>
      <c r="CJ400" s="24"/>
      <c r="CK400" s="24"/>
      <c r="CL400" s="24"/>
      <c r="CM400" s="24"/>
      <c r="CN400" s="24"/>
      <c r="CO400" s="24"/>
      <c r="CP400" s="24"/>
      <c r="CQ400" s="24"/>
      <c r="CR400" s="24"/>
      <c r="CS400" s="24"/>
      <c r="CT400" s="24"/>
      <c r="CU400" s="24"/>
    </row>
    <row r="401">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c r="CM401" s="24"/>
      <c r="CN401" s="24"/>
      <c r="CO401" s="24"/>
      <c r="CP401" s="24"/>
      <c r="CQ401" s="24"/>
      <c r="CR401" s="24"/>
      <c r="CS401" s="24"/>
      <c r="CT401" s="24"/>
      <c r="CU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c r="CM402" s="24"/>
      <c r="CN402" s="24"/>
      <c r="CO402" s="24"/>
      <c r="CP402" s="24"/>
      <c r="CQ402" s="24"/>
      <c r="CR402" s="24"/>
      <c r="CS402" s="24"/>
      <c r="CT402" s="24"/>
      <c r="CU402" s="24"/>
    </row>
    <row r="403">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c r="CR403" s="24"/>
      <c r="CS403" s="24"/>
      <c r="CT403" s="24"/>
      <c r="CU403" s="24"/>
    </row>
    <row r="40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c r="CM404" s="24"/>
      <c r="CN404" s="24"/>
      <c r="CO404" s="24"/>
      <c r="CP404" s="24"/>
      <c r="CQ404" s="24"/>
      <c r="CR404" s="24"/>
      <c r="CS404" s="24"/>
      <c r="CT404" s="24"/>
      <c r="CU404" s="24"/>
    </row>
    <row r="405">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c r="CR405" s="24"/>
      <c r="CS405" s="24"/>
      <c r="CT405" s="24"/>
      <c r="CU405" s="24"/>
    </row>
    <row r="406">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c r="BV406" s="24"/>
      <c r="BW406" s="24"/>
      <c r="BX406" s="24"/>
      <c r="BY406" s="24"/>
      <c r="BZ406" s="24"/>
      <c r="CA406" s="24"/>
      <c r="CB406" s="24"/>
      <c r="CC406" s="24"/>
      <c r="CD406" s="24"/>
      <c r="CE406" s="24"/>
      <c r="CF406" s="24"/>
      <c r="CG406" s="24"/>
      <c r="CH406" s="24"/>
      <c r="CI406" s="24"/>
      <c r="CJ406" s="24"/>
      <c r="CK406" s="24"/>
      <c r="CL406" s="24"/>
      <c r="CM406" s="24"/>
      <c r="CN406" s="24"/>
      <c r="CO406" s="24"/>
      <c r="CP406" s="24"/>
      <c r="CQ406" s="24"/>
      <c r="CR406" s="24"/>
      <c r="CS406" s="24"/>
      <c r="CT406" s="24"/>
      <c r="CU406" s="24"/>
    </row>
    <row r="407">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c r="CR407" s="24"/>
      <c r="CS407" s="24"/>
      <c r="CT407" s="24"/>
      <c r="CU407" s="24"/>
    </row>
    <row r="408">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c r="CM408" s="24"/>
      <c r="CN408" s="24"/>
      <c r="CO408" s="24"/>
      <c r="CP408" s="24"/>
      <c r="CQ408" s="24"/>
      <c r="CR408" s="24"/>
      <c r="CS408" s="24"/>
      <c r="CT408" s="24"/>
      <c r="CU408" s="24"/>
    </row>
    <row r="409">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c r="CM409" s="24"/>
      <c r="CN409" s="24"/>
      <c r="CO409" s="24"/>
      <c r="CP409" s="24"/>
      <c r="CQ409" s="24"/>
      <c r="CR409" s="24"/>
      <c r="CS409" s="24"/>
      <c r="CT409" s="24"/>
      <c r="CU409" s="24"/>
    </row>
    <row r="410">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c r="BV410" s="24"/>
      <c r="BW410" s="24"/>
      <c r="BX410" s="24"/>
      <c r="BY410" s="24"/>
      <c r="BZ410" s="24"/>
      <c r="CA410" s="24"/>
      <c r="CB410" s="24"/>
      <c r="CC410" s="24"/>
      <c r="CD410" s="24"/>
      <c r="CE410" s="24"/>
      <c r="CF410" s="24"/>
      <c r="CG410" s="24"/>
      <c r="CH410" s="24"/>
      <c r="CI410" s="24"/>
      <c r="CJ410" s="24"/>
      <c r="CK410" s="24"/>
      <c r="CL410" s="24"/>
      <c r="CM410" s="24"/>
      <c r="CN410" s="24"/>
      <c r="CO410" s="24"/>
      <c r="CP410" s="24"/>
      <c r="CQ410" s="24"/>
      <c r="CR410" s="24"/>
      <c r="CS410" s="24"/>
      <c r="CT410" s="24"/>
      <c r="CU410" s="24"/>
    </row>
    <row r="411">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row>
    <row r="412">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c r="BV412" s="24"/>
      <c r="BW412" s="24"/>
      <c r="BX412" s="24"/>
      <c r="BY412" s="24"/>
      <c r="BZ412" s="24"/>
      <c r="CA412" s="24"/>
      <c r="CB412" s="24"/>
      <c r="CC412" s="24"/>
      <c r="CD412" s="24"/>
      <c r="CE412" s="24"/>
      <c r="CF412" s="24"/>
      <c r="CG412" s="24"/>
      <c r="CH412" s="24"/>
      <c r="CI412" s="24"/>
      <c r="CJ412" s="24"/>
      <c r="CK412" s="24"/>
      <c r="CL412" s="24"/>
      <c r="CM412" s="24"/>
      <c r="CN412" s="24"/>
      <c r="CO412" s="24"/>
      <c r="CP412" s="24"/>
      <c r="CQ412" s="24"/>
      <c r="CR412" s="24"/>
      <c r="CS412" s="24"/>
      <c r="CT412" s="24"/>
      <c r="CU412" s="24"/>
    </row>
    <row r="413">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c r="CM413" s="24"/>
      <c r="CN413" s="24"/>
      <c r="CO413" s="24"/>
      <c r="CP413" s="24"/>
      <c r="CQ413" s="24"/>
      <c r="CR413" s="24"/>
      <c r="CS413" s="24"/>
      <c r="CT413" s="24"/>
      <c r="CU413" s="24"/>
    </row>
    <row r="41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row>
    <row r="415">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c r="CT415" s="24"/>
      <c r="CU415" s="24"/>
    </row>
    <row r="416">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c r="BV416" s="24"/>
      <c r="BW416" s="24"/>
      <c r="BX416" s="24"/>
      <c r="BY416" s="24"/>
      <c r="BZ416" s="24"/>
      <c r="CA416" s="24"/>
      <c r="CB416" s="24"/>
      <c r="CC416" s="24"/>
      <c r="CD416" s="24"/>
      <c r="CE416" s="24"/>
      <c r="CF416" s="24"/>
      <c r="CG416" s="24"/>
      <c r="CH416" s="24"/>
      <c r="CI416" s="24"/>
      <c r="CJ416" s="24"/>
      <c r="CK416" s="24"/>
      <c r="CL416" s="24"/>
      <c r="CM416" s="24"/>
      <c r="CN416" s="24"/>
      <c r="CO416" s="24"/>
      <c r="CP416" s="24"/>
      <c r="CQ416" s="24"/>
      <c r="CR416" s="24"/>
      <c r="CS416" s="24"/>
      <c r="CT416" s="24"/>
      <c r="CU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c r="CR417" s="24"/>
      <c r="CS417" s="24"/>
      <c r="CT417" s="24"/>
      <c r="CU417" s="24"/>
    </row>
    <row r="418">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c r="BV418" s="24"/>
      <c r="BW418" s="24"/>
      <c r="BX418" s="24"/>
      <c r="BY418" s="24"/>
      <c r="BZ418" s="24"/>
      <c r="CA418" s="24"/>
      <c r="CB418" s="24"/>
      <c r="CC418" s="24"/>
      <c r="CD418" s="24"/>
      <c r="CE418" s="24"/>
      <c r="CF418" s="24"/>
      <c r="CG418" s="24"/>
      <c r="CH418" s="24"/>
      <c r="CI418" s="24"/>
      <c r="CJ418" s="24"/>
      <c r="CK418" s="24"/>
      <c r="CL418" s="24"/>
      <c r="CM418" s="24"/>
      <c r="CN418" s="24"/>
      <c r="CO418" s="24"/>
      <c r="CP418" s="24"/>
      <c r="CQ418" s="24"/>
      <c r="CR418" s="24"/>
      <c r="CS418" s="24"/>
      <c r="CT418" s="24"/>
      <c r="CU418" s="24"/>
    </row>
    <row r="419">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c r="CR419" s="24"/>
      <c r="CS419" s="24"/>
      <c r="CT419" s="24"/>
      <c r="CU419" s="24"/>
    </row>
    <row r="420">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c r="CM420" s="24"/>
      <c r="CN420" s="24"/>
      <c r="CO420" s="24"/>
      <c r="CP420" s="24"/>
      <c r="CQ420" s="24"/>
      <c r="CR420" s="24"/>
      <c r="CS420" s="24"/>
      <c r="CT420" s="24"/>
      <c r="CU420" s="24"/>
    </row>
    <row r="421">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c r="CM421" s="24"/>
      <c r="CN421" s="24"/>
      <c r="CO421" s="24"/>
      <c r="CP421" s="24"/>
      <c r="CQ421" s="24"/>
      <c r="CR421" s="24"/>
      <c r="CS421" s="24"/>
      <c r="CT421" s="24"/>
      <c r="CU421" s="24"/>
    </row>
    <row r="422">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c r="BV422" s="24"/>
      <c r="BW422" s="24"/>
      <c r="BX422" s="24"/>
      <c r="BY422" s="24"/>
      <c r="BZ422" s="24"/>
      <c r="CA422" s="24"/>
      <c r="CB422" s="24"/>
      <c r="CC422" s="24"/>
      <c r="CD422" s="24"/>
      <c r="CE422" s="24"/>
      <c r="CF422" s="24"/>
      <c r="CG422" s="24"/>
      <c r="CH422" s="24"/>
      <c r="CI422" s="24"/>
      <c r="CJ422" s="24"/>
      <c r="CK422" s="24"/>
      <c r="CL422" s="24"/>
      <c r="CM422" s="24"/>
      <c r="CN422" s="24"/>
      <c r="CO422" s="24"/>
      <c r="CP422" s="24"/>
      <c r="CQ422" s="24"/>
      <c r="CR422" s="24"/>
      <c r="CS422" s="24"/>
      <c r="CT422" s="24"/>
      <c r="CU422" s="24"/>
    </row>
    <row r="423">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row>
    <row r="4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c r="BV424" s="24"/>
      <c r="BW424" s="24"/>
      <c r="BX424" s="24"/>
      <c r="BY424" s="24"/>
      <c r="BZ424" s="24"/>
      <c r="CA424" s="24"/>
      <c r="CB424" s="24"/>
      <c r="CC424" s="24"/>
      <c r="CD424" s="24"/>
      <c r="CE424" s="24"/>
      <c r="CF424" s="24"/>
      <c r="CG424" s="24"/>
      <c r="CH424" s="24"/>
      <c r="CI424" s="24"/>
      <c r="CJ424" s="24"/>
      <c r="CK424" s="24"/>
      <c r="CL424" s="24"/>
      <c r="CM424" s="24"/>
      <c r="CN424" s="24"/>
      <c r="CO424" s="24"/>
      <c r="CP424" s="24"/>
      <c r="CQ424" s="24"/>
      <c r="CR424" s="24"/>
      <c r="CS424" s="24"/>
      <c r="CT424" s="24"/>
      <c r="CU424" s="24"/>
    </row>
    <row r="425">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c r="CM425" s="24"/>
      <c r="CN425" s="24"/>
      <c r="CO425" s="24"/>
      <c r="CP425" s="24"/>
      <c r="CQ425" s="24"/>
      <c r="CR425" s="24"/>
      <c r="CS425" s="24"/>
      <c r="CT425" s="24"/>
      <c r="CU425" s="24"/>
    </row>
    <row r="426">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c r="CM426" s="24"/>
      <c r="CN426" s="24"/>
      <c r="CO426" s="24"/>
      <c r="CP426" s="24"/>
      <c r="CQ426" s="24"/>
      <c r="CR426" s="24"/>
      <c r="CS426" s="24"/>
      <c r="CT426" s="24"/>
      <c r="CU426" s="24"/>
    </row>
    <row r="427">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c r="CM427" s="24"/>
      <c r="CN427" s="24"/>
      <c r="CO427" s="24"/>
      <c r="CP427" s="24"/>
      <c r="CQ427" s="24"/>
      <c r="CR427" s="24"/>
      <c r="CS427" s="24"/>
      <c r="CT427" s="24"/>
      <c r="CU427" s="24"/>
    </row>
    <row r="428">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c r="CM428" s="24"/>
      <c r="CN428" s="24"/>
      <c r="CO428" s="24"/>
      <c r="CP428" s="24"/>
      <c r="CQ428" s="24"/>
      <c r="CR428" s="24"/>
      <c r="CS428" s="24"/>
      <c r="CT428" s="24"/>
      <c r="CU428" s="24"/>
    </row>
    <row r="429">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c r="CR429" s="24"/>
      <c r="CS429" s="24"/>
      <c r="CT429" s="24"/>
      <c r="CU429" s="24"/>
    </row>
    <row r="430">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c r="BV430" s="24"/>
      <c r="BW430" s="24"/>
      <c r="BX430" s="24"/>
      <c r="BY430" s="24"/>
      <c r="BZ430" s="24"/>
      <c r="CA430" s="24"/>
      <c r="CB430" s="24"/>
      <c r="CC430" s="24"/>
      <c r="CD430" s="24"/>
      <c r="CE430" s="24"/>
      <c r="CF430" s="24"/>
      <c r="CG430" s="24"/>
      <c r="CH430" s="24"/>
      <c r="CI430" s="24"/>
      <c r="CJ430" s="24"/>
      <c r="CK430" s="24"/>
      <c r="CL430" s="24"/>
      <c r="CM430" s="24"/>
      <c r="CN430" s="24"/>
      <c r="CO430" s="24"/>
      <c r="CP430" s="24"/>
      <c r="CQ430" s="24"/>
      <c r="CR430" s="24"/>
      <c r="CS430" s="24"/>
      <c r="CT430" s="24"/>
      <c r="CU430" s="24"/>
    </row>
    <row r="431">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c r="CR431" s="24"/>
      <c r="CS431" s="24"/>
      <c r="CT431" s="24"/>
      <c r="CU431" s="24"/>
    </row>
    <row r="432">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row>
    <row r="433">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c r="CR433" s="24"/>
      <c r="CS433" s="24"/>
      <c r="CT433" s="24"/>
      <c r="CU433" s="24"/>
    </row>
    <row r="43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c r="BX434" s="24"/>
      <c r="BY434" s="24"/>
      <c r="BZ434" s="24"/>
      <c r="CA434" s="24"/>
      <c r="CB434" s="24"/>
      <c r="CC434" s="24"/>
      <c r="CD434" s="24"/>
      <c r="CE434" s="24"/>
      <c r="CF434" s="24"/>
      <c r="CG434" s="24"/>
      <c r="CH434" s="24"/>
      <c r="CI434" s="24"/>
      <c r="CJ434" s="24"/>
      <c r="CK434" s="24"/>
      <c r="CL434" s="24"/>
      <c r="CM434" s="24"/>
      <c r="CN434" s="24"/>
      <c r="CO434" s="24"/>
      <c r="CP434" s="24"/>
      <c r="CQ434" s="24"/>
      <c r="CR434" s="24"/>
      <c r="CS434" s="24"/>
      <c r="CT434" s="24"/>
      <c r="CU434" s="24"/>
    </row>
    <row r="435">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row>
    <row r="436">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c r="BX436" s="24"/>
      <c r="BY436" s="24"/>
      <c r="BZ436" s="24"/>
      <c r="CA436" s="24"/>
      <c r="CB436" s="24"/>
      <c r="CC436" s="24"/>
      <c r="CD436" s="24"/>
      <c r="CE436" s="24"/>
      <c r="CF436" s="24"/>
      <c r="CG436" s="24"/>
      <c r="CH436" s="24"/>
      <c r="CI436" s="24"/>
      <c r="CJ436" s="24"/>
      <c r="CK436" s="24"/>
      <c r="CL436" s="24"/>
      <c r="CM436" s="24"/>
      <c r="CN436" s="24"/>
      <c r="CO436" s="24"/>
      <c r="CP436" s="24"/>
      <c r="CQ436" s="24"/>
      <c r="CR436" s="24"/>
      <c r="CS436" s="24"/>
      <c r="CT436" s="24"/>
      <c r="CU436" s="24"/>
    </row>
    <row r="437">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c r="CR437" s="24"/>
      <c r="CS437" s="24"/>
      <c r="CT437" s="24"/>
      <c r="CU437" s="24"/>
    </row>
    <row r="438">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c r="CT438" s="24"/>
      <c r="CU438" s="24"/>
    </row>
    <row r="439">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c r="CR439" s="24"/>
      <c r="CS439" s="24"/>
      <c r="CT439" s="24"/>
      <c r="CU439" s="24"/>
    </row>
    <row r="440">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c r="BX440" s="24"/>
      <c r="BY440" s="24"/>
      <c r="BZ440" s="24"/>
      <c r="CA440" s="24"/>
      <c r="CB440" s="24"/>
      <c r="CC440" s="24"/>
      <c r="CD440" s="24"/>
      <c r="CE440" s="24"/>
      <c r="CF440" s="24"/>
      <c r="CG440" s="24"/>
      <c r="CH440" s="24"/>
      <c r="CI440" s="24"/>
      <c r="CJ440" s="24"/>
      <c r="CK440" s="24"/>
      <c r="CL440" s="24"/>
      <c r="CM440" s="24"/>
      <c r="CN440" s="24"/>
      <c r="CO440" s="24"/>
      <c r="CP440" s="24"/>
      <c r="CQ440" s="24"/>
      <c r="CR440" s="24"/>
      <c r="CS440" s="24"/>
      <c r="CT440" s="24"/>
      <c r="CU440" s="24"/>
    </row>
    <row r="441">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row>
    <row r="442">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c r="BX442" s="24"/>
      <c r="BY442" s="24"/>
      <c r="BZ442" s="24"/>
      <c r="CA442" s="24"/>
      <c r="CB442" s="24"/>
      <c r="CC442" s="24"/>
      <c r="CD442" s="24"/>
      <c r="CE442" s="24"/>
      <c r="CF442" s="24"/>
      <c r="CG442" s="24"/>
      <c r="CH442" s="24"/>
      <c r="CI442" s="24"/>
      <c r="CJ442" s="24"/>
      <c r="CK442" s="24"/>
      <c r="CL442" s="24"/>
      <c r="CM442" s="24"/>
      <c r="CN442" s="24"/>
      <c r="CO442" s="24"/>
      <c r="CP442" s="24"/>
      <c r="CQ442" s="24"/>
      <c r="CR442" s="24"/>
      <c r="CS442" s="24"/>
      <c r="CT442" s="24"/>
      <c r="CU442" s="24"/>
    </row>
    <row r="443">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c r="CR443" s="24"/>
      <c r="CS443" s="24"/>
      <c r="CT443" s="24"/>
      <c r="CU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row>
    <row r="445">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c r="CM445" s="24"/>
      <c r="CN445" s="24"/>
      <c r="CO445" s="24"/>
      <c r="CP445" s="24"/>
      <c r="CQ445" s="24"/>
      <c r="CR445" s="24"/>
      <c r="CS445" s="24"/>
      <c r="CT445" s="24"/>
      <c r="CU445" s="24"/>
    </row>
    <row r="446">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c r="BT446" s="24"/>
      <c r="BU446" s="24"/>
      <c r="BV446" s="24"/>
      <c r="BW446" s="24"/>
      <c r="BX446" s="24"/>
      <c r="BY446" s="24"/>
      <c r="BZ446" s="24"/>
      <c r="CA446" s="24"/>
      <c r="CB446" s="24"/>
      <c r="CC446" s="24"/>
      <c r="CD446" s="24"/>
      <c r="CE446" s="24"/>
      <c r="CF446" s="24"/>
      <c r="CG446" s="24"/>
      <c r="CH446" s="24"/>
      <c r="CI446" s="24"/>
      <c r="CJ446" s="24"/>
      <c r="CK446" s="24"/>
      <c r="CL446" s="24"/>
      <c r="CM446" s="24"/>
      <c r="CN446" s="24"/>
      <c r="CO446" s="24"/>
      <c r="CP446" s="24"/>
      <c r="CQ446" s="24"/>
      <c r="CR446" s="24"/>
      <c r="CS446" s="24"/>
      <c r="CT446" s="24"/>
      <c r="CU446" s="24"/>
    </row>
    <row r="447">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c r="CR447" s="24"/>
      <c r="CS447" s="24"/>
      <c r="CT447" s="24"/>
      <c r="CU447" s="24"/>
    </row>
    <row r="448">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c r="BV448" s="24"/>
      <c r="BW448" s="24"/>
      <c r="BX448" s="24"/>
      <c r="BY448" s="24"/>
      <c r="BZ448" s="24"/>
      <c r="CA448" s="24"/>
      <c r="CB448" s="24"/>
      <c r="CC448" s="24"/>
      <c r="CD448" s="24"/>
      <c r="CE448" s="24"/>
      <c r="CF448" s="24"/>
      <c r="CG448" s="24"/>
      <c r="CH448" s="24"/>
      <c r="CI448" s="24"/>
      <c r="CJ448" s="24"/>
      <c r="CK448" s="24"/>
      <c r="CL448" s="24"/>
      <c r="CM448" s="24"/>
      <c r="CN448" s="24"/>
      <c r="CO448" s="24"/>
      <c r="CP448" s="24"/>
      <c r="CQ448" s="24"/>
      <c r="CR448" s="24"/>
      <c r="CS448" s="24"/>
      <c r="CT448" s="24"/>
      <c r="CU448" s="24"/>
    </row>
    <row r="449">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c r="CM449" s="24"/>
      <c r="CN449" s="24"/>
      <c r="CO449" s="24"/>
      <c r="CP449" s="24"/>
      <c r="CQ449" s="24"/>
      <c r="CR449" s="24"/>
      <c r="CS449" s="24"/>
      <c r="CT449" s="24"/>
      <c r="CU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c r="CM450" s="24"/>
      <c r="CN450" s="24"/>
      <c r="CO450" s="24"/>
      <c r="CP450" s="24"/>
      <c r="CQ450" s="24"/>
      <c r="CR450" s="24"/>
      <c r="CS450" s="24"/>
      <c r="CT450" s="24"/>
      <c r="CU450" s="24"/>
    </row>
    <row r="451">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c r="CR451" s="24"/>
      <c r="CS451" s="24"/>
      <c r="CT451" s="24"/>
      <c r="CU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c r="BX452" s="24"/>
      <c r="BY452" s="24"/>
      <c r="BZ452" s="24"/>
      <c r="CA452" s="24"/>
      <c r="CB452" s="24"/>
      <c r="CC452" s="24"/>
      <c r="CD452" s="24"/>
      <c r="CE452" s="24"/>
      <c r="CF452" s="24"/>
      <c r="CG452" s="24"/>
      <c r="CH452" s="24"/>
      <c r="CI452" s="24"/>
      <c r="CJ452" s="24"/>
      <c r="CK452" s="24"/>
      <c r="CL452" s="24"/>
      <c r="CM452" s="24"/>
      <c r="CN452" s="24"/>
      <c r="CO452" s="24"/>
      <c r="CP452" s="24"/>
      <c r="CQ452" s="24"/>
      <c r="CR452" s="24"/>
      <c r="CS452" s="24"/>
      <c r="CT452" s="24"/>
      <c r="CU452" s="24"/>
    </row>
    <row r="453">
      <c r="A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c r="BX454" s="24"/>
      <c r="BY454" s="24"/>
      <c r="BZ454" s="24"/>
      <c r="CA454" s="24"/>
      <c r="CB454" s="24"/>
      <c r="CC454" s="24"/>
      <c r="CD454" s="24"/>
      <c r="CE454" s="24"/>
      <c r="CF454" s="24"/>
      <c r="CG454" s="24"/>
      <c r="CH454" s="24"/>
      <c r="CI454" s="24"/>
      <c r="CJ454" s="24"/>
      <c r="CK454" s="24"/>
      <c r="CL454" s="24"/>
      <c r="CM454" s="24"/>
      <c r="CN454" s="24"/>
      <c r="CO454" s="24"/>
      <c r="CP454" s="24"/>
      <c r="CQ454" s="24"/>
      <c r="CR454" s="24"/>
      <c r="CS454" s="24"/>
      <c r="CT454" s="24"/>
      <c r="CU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c r="CR455" s="24"/>
      <c r="CS455" s="24"/>
      <c r="CT455" s="24"/>
      <c r="CU455" s="24"/>
    </row>
    <row r="456">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c r="CM456" s="24"/>
      <c r="CN456" s="24"/>
      <c r="CO456" s="24"/>
      <c r="CP456" s="24"/>
      <c r="CQ456" s="24"/>
      <c r="CR456" s="24"/>
      <c r="CS456" s="24"/>
      <c r="CT456" s="24"/>
      <c r="CU456" s="24"/>
    </row>
    <row r="457">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c r="CR457" s="24"/>
      <c r="CS457" s="24"/>
      <c r="CT457" s="24"/>
      <c r="CU457" s="24"/>
    </row>
    <row r="458">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c r="CT458" s="24"/>
      <c r="CU458" s="24"/>
    </row>
    <row r="459">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row>
    <row r="460">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c r="CM460" s="24"/>
      <c r="CN460" s="24"/>
      <c r="CO460" s="24"/>
      <c r="CP460" s="24"/>
      <c r="CQ460" s="24"/>
      <c r="CR460" s="24"/>
      <c r="CS460" s="24"/>
      <c r="CT460" s="24"/>
      <c r="CU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c r="CR461" s="24"/>
      <c r="CS461" s="24"/>
      <c r="CT461" s="24"/>
      <c r="CU461" s="24"/>
    </row>
    <row r="462">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c r="CM462" s="24"/>
      <c r="CN462" s="24"/>
      <c r="CO462" s="24"/>
      <c r="CP462" s="24"/>
      <c r="CQ462" s="24"/>
      <c r="CR462" s="24"/>
      <c r="CS462" s="24"/>
      <c r="CT462" s="24"/>
      <c r="CU462" s="24"/>
    </row>
    <row r="463">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c r="CR463" s="24"/>
      <c r="CS463" s="24"/>
      <c r="CT463" s="24"/>
      <c r="CU463" s="24"/>
    </row>
    <row r="46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c r="CM464" s="24"/>
      <c r="CN464" s="24"/>
      <c r="CO464" s="24"/>
      <c r="CP464" s="24"/>
      <c r="CQ464" s="24"/>
      <c r="CR464" s="24"/>
      <c r="CS464" s="24"/>
      <c r="CT464" s="24"/>
      <c r="CU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c r="CT465" s="24"/>
      <c r="CU465" s="24"/>
    </row>
    <row r="466">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c r="BV466" s="24"/>
      <c r="BW466" s="24"/>
      <c r="BX466" s="24"/>
      <c r="BY466" s="24"/>
      <c r="BZ466" s="24"/>
      <c r="CA466" s="24"/>
      <c r="CB466" s="24"/>
      <c r="CC466" s="24"/>
      <c r="CD466" s="24"/>
      <c r="CE466" s="24"/>
      <c r="CF466" s="24"/>
      <c r="CG466" s="24"/>
      <c r="CH466" s="24"/>
      <c r="CI466" s="24"/>
      <c r="CJ466" s="24"/>
      <c r="CK466" s="24"/>
      <c r="CL466" s="24"/>
      <c r="CM466" s="24"/>
      <c r="CN466" s="24"/>
      <c r="CO466" s="24"/>
      <c r="CP466" s="24"/>
      <c r="CQ466" s="24"/>
      <c r="CR466" s="24"/>
      <c r="CS466" s="24"/>
      <c r="CT466" s="24"/>
      <c r="CU466" s="24"/>
    </row>
    <row r="467">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c r="CR467" s="24"/>
      <c r="CS467" s="24"/>
      <c r="CT467" s="24"/>
      <c r="CU467" s="24"/>
    </row>
    <row r="468">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c r="CM468" s="24"/>
      <c r="CN468" s="24"/>
      <c r="CO468" s="24"/>
      <c r="CP468" s="24"/>
      <c r="CQ468" s="24"/>
      <c r="CR468" s="24"/>
      <c r="CS468" s="24"/>
      <c r="CT468" s="24"/>
      <c r="CU468" s="24"/>
    </row>
    <row r="469">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c r="CR469" s="24"/>
      <c r="CS469" s="24"/>
      <c r="CT469" s="24"/>
      <c r="CU469" s="24"/>
    </row>
    <row r="470">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c r="BV470" s="24"/>
      <c r="BW470" s="24"/>
      <c r="BX470" s="24"/>
      <c r="BY470" s="24"/>
      <c r="BZ470" s="24"/>
      <c r="CA470" s="24"/>
      <c r="CB470" s="24"/>
      <c r="CC470" s="24"/>
      <c r="CD470" s="24"/>
      <c r="CE470" s="24"/>
      <c r="CF470" s="24"/>
      <c r="CG470" s="24"/>
      <c r="CH470" s="24"/>
      <c r="CI470" s="24"/>
      <c r="CJ470" s="24"/>
      <c r="CK470" s="24"/>
      <c r="CL470" s="24"/>
      <c r="CM470" s="24"/>
      <c r="CN470" s="24"/>
      <c r="CO470" s="24"/>
      <c r="CP470" s="24"/>
      <c r="CQ470" s="24"/>
      <c r="CR470" s="24"/>
      <c r="CS470" s="24"/>
      <c r="CT470" s="24"/>
      <c r="CU470" s="24"/>
    </row>
    <row r="471">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c r="CR471" s="24"/>
      <c r="CS471" s="24"/>
      <c r="CT471" s="24"/>
      <c r="CU471" s="24"/>
    </row>
    <row r="472">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c r="BV472" s="24"/>
      <c r="BW472" s="24"/>
      <c r="BX472" s="24"/>
      <c r="BY472" s="24"/>
      <c r="BZ472" s="24"/>
      <c r="CA472" s="24"/>
      <c r="CB472" s="24"/>
      <c r="CC472" s="24"/>
      <c r="CD472" s="24"/>
      <c r="CE472" s="24"/>
      <c r="CF472" s="24"/>
      <c r="CG472" s="24"/>
      <c r="CH472" s="24"/>
      <c r="CI472" s="24"/>
      <c r="CJ472" s="24"/>
      <c r="CK472" s="24"/>
      <c r="CL472" s="24"/>
      <c r="CM472" s="24"/>
      <c r="CN472" s="24"/>
      <c r="CO472" s="24"/>
      <c r="CP472" s="24"/>
      <c r="CQ472" s="24"/>
      <c r="CR472" s="24"/>
      <c r="CS472" s="24"/>
      <c r="CT472" s="24"/>
      <c r="CU472" s="24"/>
    </row>
    <row r="473">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c r="CM473" s="24"/>
      <c r="CN473" s="24"/>
      <c r="CO473" s="24"/>
      <c r="CP473" s="24"/>
      <c r="CQ473" s="24"/>
      <c r="CR473" s="24"/>
      <c r="CS473" s="24"/>
      <c r="CT473" s="24"/>
      <c r="CU473" s="24"/>
    </row>
    <row r="47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row>
    <row r="475">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c r="CR475" s="24"/>
      <c r="CS475" s="24"/>
      <c r="CT475" s="24"/>
      <c r="CU475" s="24"/>
    </row>
    <row r="476">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c r="CM476" s="24"/>
      <c r="CN476" s="24"/>
      <c r="CO476" s="24"/>
      <c r="CP476" s="24"/>
      <c r="CQ476" s="24"/>
      <c r="CR476" s="24"/>
      <c r="CS476" s="24"/>
      <c r="CT476" s="24"/>
      <c r="CU476" s="24"/>
    </row>
    <row r="477">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row>
    <row r="478">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c r="CM478" s="24"/>
      <c r="CN478" s="24"/>
      <c r="CO478" s="24"/>
      <c r="CP478" s="24"/>
      <c r="CQ478" s="24"/>
      <c r="CR478" s="24"/>
      <c r="CS478" s="24"/>
      <c r="CT478" s="24"/>
      <c r="CU478" s="24"/>
    </row>
    <row r="479">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c r="CR479" s="24"/>
      <c r="CS479" s="24"/>
      <c r="CT479" s="24"/>
      <c r="CU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row>
    <row r="481">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c r="CR481" s="24"/>
      <c r="CS481" s="24"/>
      <c r="CT481" s="24"/>
      <c r="CU481" s="24"/>
    </row>
    <row r="482">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c r="CM482" s="24"/>
      <c r="CN482" s="24"/>
      <c r="CO482" s="24"/>
      <c r="CP482" s="24"/>
      <c r="CQ482" s="24"/>
      <c r="CR482" s="24"/>
      <c r="CS482" s="24"/>
      <c r="CT482" s="24"/>
      <c r="CU482" s="24"/>
    </row>
    <row r="483">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row>
    <row r="48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c r="BV484" s="24"/>
      <c r="BW484" s="24"/>
      <c r="BX484" s="24"/>
      <c r="BY484" s="24"/>
      <c r="BZ484" s="24"/>
      <c r="CA484" s="24"/>
      <c r="CB484" s="24"/>
      <c r="CC484" s="24"/>
      <c r="CD484" s="24"/>
      <c r="CE484" s="24"/>
      <c r="CF484" s="24"/>
      <c r="CG484" s="24"/>
      <c r="CH484" s="24"/>
      <c r="CI484" s="24"/>
      <c r="CJ484" s="24"/>
      <c r="CK484" s="24"/>
      <c r="CL484" s="24"/>
      <c r="CM484" s="24"/>
      <c r="CN484" s="24"/>
      <c r="CO484" s="24"/>
      <c r="CP484" s="24"/>
      <c r="CQ484" s="24"/>
      <c r="CR484" s="24"/>
      <c r="CS484" s="24"/>
      <c r="CT484" s="24"/>
      <c r="CU484" s="24"/>
    </row>
    <row r="485">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c r="CR485" s="24"/>
      <c r="CS485" s="24"/>
      <c r="CT485" s="24"/>
      <c r="CU485" s="24"/>
    </row>
    <row r="486">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c r="CT486" s="24"/>
      <c r="CU486" s="24"/>
    </row>
    <row r="487">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c r="CT487" s="24"/>
      <c r="CU487" s="24"/>
    </row>
    <row r="488">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c r="CM488" s="24"/>
      <c r="CN488" s="24"/>
      <c r="CO488" s="24"/>
      <c r="CP488" s="24"/>
      <c r="CQ488" s="24"/>
      <c r="CR488" s="24"/>
      <c r="CS488" s="24"/>
      <c r="CT488" s="24"/>
      <c r="CU488" s="24"/>
    </row>
    <row r="489">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c r="CT489" s="24"/>
      <c r="CU489" s="24"/>
    </row>
    <row r="490">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c r="CM490" s="24"/>
      <c r="CN490" s="24"/>
      <c r="CO490" s="24"/>
      <c r="CP490" s="24"/>
      <c r="CQ490" s="24"/>
      <c r="CR490" s="24"/>
      <c r="CS490" s="24"/>
      <c r="CT490" s="24"/>
      <c r="CU490" s="24"/>
    </row>
    <row r="491">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c r="CR491" s="24"/>
      <c r="CS491" s="24"/>
      <c r="CT491" s="24"/>
      <c r="CU491" s="24"/>
    </row>
    <row r="492">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c r="CT492" s="24"/>
      <c r="CU492" s="24"/>
    </row>
    <row r="493">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c r="CR493" s="24"/>
      <c r="CS493" s="24"/>
      <c r="CT493" s="24"/>
      <c r="CU493" s="24"/>
    </row>
    <row r="49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c r="BV494" s="24"/>
      <c r="BW494" s="24"/>
      <c r="BX494" s="24"/>
      <c r="BY494" s="24"/>
      <c r="BZ494" s="24"/>
      <c r="CA494" s="24"/>
      <c r="CB494" s="24"/>
      <c r="CC494" s="24"/>
      <c r="CD494" s="24"/>
      <c r="CE494" s="24"/>
      <c r="CF494" s="24"/>
      <c r="CG494" s="24"/>
      <c r="CH494" s="24"/>
      <c r="CI494" s="24"/>
      <c r="CJ494" s="24"/>
      <c r="CK494" s="24"/>
      <c r="CL494" s="24"/>
      <c r="CM494" s="24"/>
      <c r="CN494" s="24"/>
      <c r="CO494" s="24"/>
      <c r="CP494" s="24"/>
      <c r="CQ494" s="24"/>
      <c r="CR494" s="24"/>
      <c r="CS494" s="24"/>
      <c r="CT494" s="24"/>
      <c r="CU494" s="24"/>
    </row>
    <row r="495">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c r="CT495" s="24"/>
      <c r="CU495" s="24"/>
    </row>
    <row r="496">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c r="CM496" s="24"/>
      <c r="CN496" s="24"/>
      <c r="CO496" s="24"/>
      <c r="CP496" s="24"/>
      <c r="CQ496" s="24"/>
      <c r="CR496" s="24"/>
      <c r="CS496" s="24"/>
      <c r="CT496" s="24"/>
      <c r="CU496" s="24"/>
    </row>
    <row r="497">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c r="CR497" s="24"/>
      <c r="CS497" s="24"/>
      <c r="CT497" s="24"/>
      <c r="CU497" s="24"/>
    </row>
    <row r="498">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c r="CT498" s="24"/>
      <c r="CU498" s="24"/>
    </row>
    <row r="499">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c r="CT499" s="24"/>
      <c r="CU499" s="24"/>
    </row>
    <row r="500">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c r="CM500" s="24"/>
      <c r="CN500" s="24"/>
      <c r="CO500" s="24"/>
      <c r="CP500" s="24"/>
      <c r="CQ500" s="24"/>
      <c r="CR500" s="24"/>
      <c r="CS500" s="24"/>
      <c r="CT500" s="24"/>
      <c r="CU500" s="24"/>
    </row>
    <row r="501">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c r="CT501" s="24"/>
      <c r="CU501" s="24"/>
    </row>
    <row r="502">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c r="CM502" s="24"/>
      <c r="CN502" s="24"/>
      <c r="CO502" s="24"/>
      <c r="CP502" s="24"/>
      <c r="CQ502" s="24"/>
      <c r="CR502" s="24"/>
      <c r="CS502" s="24"/>
      <c r="CT502" s="24"/>
      <c r="CU502" s="24"/>
    </row>
    <row r="503">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c r="CT503" s="24"/>
      <c r="CU503" s="24"/>
    </row>
    <row r="50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c r="CM504" s="24"/>
      <c r="CN504" s="24"/>
      <c r="CO504" s="24"/>
      <c r="CP504" s="24"/>
      <c r="CQ504" s="24"/>
      <c r="CR504" s="24"/>
      <c r="CS504" s="24"/>
      <c r="CT504" s="24"/>
      <c r="CU504" s="24"/>
    </row>
    <row r="505">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c r="CR505" s="24"/>
      <c r="CS505" s="24"/>
      <c r="CT505" s="24"/>
      <c r="CU505" s="24"/>
    </row>
    <row r="506">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c r="BV506" s="24"/>
      <c r="BW506" s="24"/>
      <c r="BX506" s="24"/>
      <c r="BY506" s="24"/>
      <c r="BZ506" s="24"/>
      <c r="CA506" s="24"/>
      <c r="CB506" s="24"/>
      <c r="CC506" s="24"/>
      <c r="CD506" s="24"/>
      <c r="CE506" s="24"/>
      <c r="CF506" s="24"/>
      <c r="CG506" s="24"/>
      <c r="CH506" s="24"/>
      <c r="CI506" s="24"/>
      <c r="CJ506" s="24"/>
      <c r="CK506" s="24"/>
      <c r="CL506" s="24"/>
      <c r="CM506" s="24"/>
      <c r="CN506" s="24"/>
      <c r="CO506" s="24"/>
      <c r="CP506" s="24"/>
      <c r="CQ506" s="24"/>
      <c r="CR506" s="24"/>
      <c r="CS506" s="24"/>
      <c r="CT506" s="24"/>
      <c r="CU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c r="CR507" s="24"/>
      <c r="CS507" s="24"/>
      <c r="CT507" s="24"/>
      <c r="CU507" s="24"/>
    </row>
    <row r="508">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c r="BV508" s="24"/>
      <c r="BW508" s="24"/>
      <c r="BX508" s="24"/>
      <c r="BY508" s="24"/>
      <c r="BZ508" s="24"/>
      <c r="CA508" s="24"/>
      <c r="CB508" s="24"/>
      <c r="CC508" s="24"/>
      <c r="CD508" s="24"/>
      <c r="CE508" s="24"/>
      <c r="CF508" s="24"/>
      <c r="CG508" s="24"/>
      <c r="CH508" s="24"/>
      <c r="CI508" s="24"/>
      <c r="CJ508" s="24"/>
      <c r="CK508" s="24"/>
      <c r="CL508" s="24"/>
      <c r="CM508" s="24"/>
      <c r="CN508" s="24"/>
      <c r="CO508" s="24"/>
      <c r="CP508" s="24"/>
      <c r="CQ508" s="24"/>
      <c r="CR508" s="24"/>
      <c r="CS508" s="24"/>
      <c r="CT508" s="24"/>
      <c r="CU508" s="24"/>
    </row>
    <row r="509">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c r="CM509" s="24"/>
      <c r="CN509" s="24"/>
      <c r="CO509" s="24"/>
      <c r="CP509" s="24"/>
      <c r="CQ509" s="24"/>
      <c r="CR509" s="24"/>
      <c r="CS509" s="24"/>
      <c r="CT509" s="24"/>
      <c r="CU509" s="24"/>
    </row>
    <row r="510">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c r="BV510" s="24"/>
      <c r="BW510" s="24"/>
      <c r="BX510" s="24"/>
      <c r="BY510" s="24"/>
      <c r="BZ510" s="24"/>
      <c r="CA510" s="24"/>
      <c r="CB510" s="24"/>
      <c r="CC510" s="24"/>
      <c r="CD510" s="24"/>
      <c r="CE510" s="24"/>
      <c r="CF510" s="24"/>
      <c r="CG510" s="24"/>
      <c r="CH510" s="24"/>
      <c r="CI510" s="24"/>
      <c r="CJ510" s="24"/>
      <c r="CK510" s="24"/>
      <c r="CL510" s="24"/>
      <c r="CM510" s="24"/>
      <c r="CN510" s="24"/>
      <c r="CO510" s="24"/>
      <c r="CP510" s="24"/>
      <c r="CQ510" s="24"/>
      <c r="CR510" s="24"/>
      <c r="CS510" s="24"/>
      <c r="CT510" s="24"/>
      <c r="CU510" s="24"/>
    </row>
    <row r="511">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c r="CR511" s="24"/>
      <c r="CS511" s="24"/>
      <c r="CT511" s="24"/>
      <c r="CU511" s="24"/>
    </row>
    <row r="512">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c r="BV512" s="24"/>
      <c r="BW512" s="24"/>
      <c r="BX512" s="24"/>
      <c r="BY512" s="24"/>
      <c r="BZ512" s="24"/>
      <c r="CA512" s="24"/>
      <c r="CB512" s="24"/>
      <c r="CC512" s="24"/>
      <c r="CD512" s="24"/>
      <c r="CE512" s="24"/>
      <c r="CF512" s="24"/>
      <c r="CG512" s="24"/>
      <c r="CH512" s="24"/>
      <c r="CI512" s="24"/>
      <c r="CJ512" s="24"/>
      <c r="CK512" s="24"/>
      <c r="CL512" s="24"/>
      <c r="CM512" s="24"/>
      <c r="CN512" s="24"/>
      <c r="CO512" s="24"/>
      <c r="CP512" s="24"/>
      <c r="CQ512" s="24"/>
      <c r="CR512" s="24"/>
      <c r="CS512" s="24"/>
      <c r="CT512" s="24"/>
      <c r="CU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c r="CM513" s="24"/>
      <c r="CN513" s="24"/>
      <c r="CO513" s="24"/>
      <c r="CP513" s="24"/>
      <c r="CQ513" s="24"/>
      <c r="CR513" s="24"/>
      <c r="CS513" s="24"/>
      <c r="CT513" s="24"/>
      <c r="CU513" s="24"/>
    </row>
    <row r="51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c r="BV514" s="24"/>
      <c r="BW514" s="24"/>
      <c r="BX514" s="24"/>
      <c r="BY514" s="24"/>
      <c r="BZ514" s="24"/>
      <c r="CA514" s="24"/>
      <c r="CB514" s="24"/>
      <c r="CC514" s="24"/>
      <c r="CD514" s="24"/>
      <c r="CE514" s="24"/>
      <c r="CF514" s="24"/>
      <c r="CG514" s="24"/>
      <c r="CH514" s="24"/>
      <c r="CI514" s="24"/>
      <c r="CJ514" s="24"/>
      <c r="CK514" s="24"/>
      <c r="CL514" s="24"/>
      <c r="CM514" s="24"/>
      <c r="CN514" s="24"/>
      <c r="CO514" s="24"/>
      <c r="CP514" s="24"/>
      <c r="CQ514" s="24"/>
      <c r="CR514" s="24"/>
      <c r="CS514" s="24"/>
      <c r="CT514" s="24"/>
      <c r="CU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c r="CR515" s="24"/>
      <c r="CS515" s="24"/>
      <c r="CT515" s="24"/>
      <c r="CU515" s="24"/>
    </row>
    <row r="516">
      <c r="A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c r="BV516" s="24"/>
      <c r="BW516" s="24"/>
      <c r="BX516" s="24"/>
      <c r="BY516" s="24"/>
      <c r="BZ516" s="24"/>
      <c r="CA516" s="24"/>
      <c r="CB516" s="24"/>
      <c r="CC516" s="24"/>
      <c r="CD516" s="24"/>
      <c r="CE516" s="24"/>
      <c r="CF516" s="24"/>
      <c r="CG516" s="24"/>
      <c r="CH516" s="24"/>
      <c r="CI516" s="24"/>
      <c r="CJ516" s="24"/>
      <c r="CK516" s="24"/>
      <c r="CL516" s="24"/>
      <c r="CM516" s="24"/>
      <c r="CN516" s="24"/>
      <c r="CO516" s="24"/>
      <c r="CP516" s="24"/>
      <c r="CQ516" s="24"/>
      <c r="CR516" s="24"/>
      <c r="CS516" s="24"/>
      <c r="CT516" s="24"/>
      <c r="CU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c r="CR517" s="24"/>
      <c r="CS517" s="24"/>
      <c r="CT517" s="24"/>
      <c r="CU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c r="BV518" s="24"/>
      <c r="BW518" s="24"/>
      <c r="BX518" s="24"/>
      <c r="BY518" s="24"/>
      <c r="BZ518" s="24"/>
      <c r="CA518" s="24"/>
      <c r="CB518" s="24"/>
      <c r="CC518" s="24"/>
      <c r="CD518" s="24"/>
      <c r="CE518" s="24"/>
      <c r="CF518" s="24"/>
      <c r="CG518" s="24"/>
      <c r="CH518" s="24"/>
      <c r="CI518" s="24"/>
      <c r="CJ518" s="24"/>
      <c r="CK518" s="24"/>
      <c r="CL518" s="24"/>
      <c r="CM518" s="24"/>
      <c r="CN518" s="24"/>
      <c r="CO518" s="24"/>
      <c r="CP518" s="24"/>
      <c r="CQ518" s="24"/>
      <c r="CR518" s="24"/>
      <c r="CS518" s="24"/>
      <c r="CT518" s="24"/>
      <c r="CU518" s="24"/>
    </row>
    <row r="519">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c r="CR519" s="24"/>
      <c r="CS519" s="24"/>
      <c r="CT519" s="24"/>
      <c r="CU519" s="24"/>
    </row>
    <row r="520">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c r="CM520" s="24"/>
      <c r="CN520" s="24"/>
      <c r="CO520" s="24"/>
      <c r="CP520" s="24"/>
      <c r="CQ520" s="24"/>
      <c r="CR520" s="24"/>
      <c r="CS520" s="24"/>
      <c r="CT520" s="24"/>
      <c r="CU520" s="24"/>
    </row>
    <row r="521">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c r="CR521" s="24"/>
      <c r="CS521" s="24"/>
      <c r="CT521" s="24"/>
      <c r="CU521" s="24"/>
    </row>
    <row r="522">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c r="BV522" s="24"/>
      <c r="BW522" s="24"/>
      <c r="BX522" s="24"/>
      <c r="BY522" s="24"/>
      <c r="BZ522" s="24"/>
      <c r="CA522" s="24"/>
      <c r="CB522" s="24"/>
      <c r="CC522" s="24"/>
      <c r="CD522" s="24"/>
      <c r="CE522" s="24"/>
      <c r="CF522" s="24"/>
      <c r="CG522" s="24"/>
      <c r="CH522" s="24"/>
      <c r="CI522" s="24"/>
      <c r="CJ522" s="24"/>
      <c r="CK522" s="24"/>
      <c r="CL522" s="24"/>
      <c r="CM522" s="24"/>
      <c r="CN522" s="24"/>
      <c r="CO522" s="24"/>
      <c r="CP522" s="24"/>
      <c r="CQ522" s="24"/>
      <c r="CR522" s="24"/>
      <c r="CS522" s="24"/>
      <c r="CT522" s="24"/>
      <c r="CU522" s="24"/>
    </row>
    <row r="523">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c r="CR523" s="24"/>
      <c r="CS523" s="24"/>
      <c r="CT523" s="24"/>
      <c r="CU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c r="BV524" s="24"/>
      <c r="BW524" s="24"/>
      <c r="BX524" s="24"/>
      <c r="BY524" s="24"/>
      <c r="BZ524" s="24"/>
      <c r="CA524" s="24"/>
      <c r="CB524" s="24"/>
      <c r="CC524" s="24"/>
      <c r="CD524" s="24"/>
      <c r="CE524" s="24"/>
      <c r="CF524" s="24"/>
      <c r="CG524" s="24"/>
      <c r="CH524" s="24"/>
      <c r="CI524" s="24"/>
      <c r="CJ524" s="24"/>
      <c r="CK524" s="24"/>
      <c r="CL524" s="24"/>
      <c r="CM524" s="24"/>
      <c r="CN524" s="24"/>
      <c r="CO524" s="24"/>
      <c r="CP524" s="24"/>
      <c r="CQ524" s="24"/>
      <c r="CR524" s="24"/>
      <c r="CS524" s="24"/>
      <c r="CT524" s="24"/>
      <c r="CU524" s="24"/>
    </row>
    <row r="525">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c r="CM525" s="24"/>
      <c r="CN525" s="24"/>
      <c r="CO525" s="24"/>
      <c r="CP525" s="24"/>
      <c r="CQ525" s="24"/>
      <c r="CR525" s="24"/>
      <c r="CS525" s="24"/>
      <c r="CT525" s="24"/>
      <c r="CU525" s="24"/>
    </row>
    <row r="526">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c r="BV526" s="24"/>
      <c r="BW526" s="24"/>
      <c r="BX526" s="24"/>
      <c r="BY526" s="24"/>
      <c r="BZ526" s="24"/>
      <c r="CA526" s="24"/>
      <c r="CB526" s="24"/>
      <c r="CC526" s="24"/>
      <c r="CD526" s="24"/>
      <c r="CE526" s="24"/>
      <c r="CF526" s="24"/>
      <c r="CG526" s="24"/>
      <c r="CH526" s="24"/>
      <c r="CI526" s="24"/>
      <c r="CJ526" s="24"/>
      <c r="CK526" s="24"/>
      <c r="CL526" s="24"/>
      <c r="CM526" s="24"/>
      <c r="CN526" s="24"/>
      <c r="CO526" s="24"/>
      <c r="CP526" s="24"/>
      <c r="CQ526" s="24"/>
      <c r="CR526" s="24"/>
      <c r="CS526" s="24"/>
      <c r="CT526" s="24"/>
      <c r="CU526" s="24"/>
    </row>
    <row r="527">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c r="CR527" s="24"/>
      <c r="CS527" s="24"/>
      <c r="CT527" s="24"/>
      <c r="CU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c r="BV528" s="24"/>
      <c r="BW528" s="24"/>
      <c r="BX528" s="24"/>
      <c r="BY528" s="24"/>
      <c r="BZ528" s="24"/>
      <c r="CA528" s="24"/>
      <c r="CB528" s="24"/>
      <c r="CC528" s="24"/>
      <c r="CD528" s="24"/>
      <c r="CE528" s="24"/>
      <c r="CF528" s="24"/>
      <c r="CG528" s="24"/>
      <c r="CH528" s="24"/>
      <c r="CI528" s="24"/>
      <c r="CJ528" s="24"/>
      <c r="CK528" s="24"/>
      <c r="CL528" s="24"/>
      <c r="CM528" s="24"/>
      <c r="CN528" s="24"/>
      <c r="CO528" s="24"/>
      <c r="CP528" s="24"/>
      <c r="CQ528" s="24"/>
      <c r="CR528" s="24"/>
      <c r="CS528" s="24"/>
      <c r="CT528" s="24"/>
      <c r="CU528" s="24"/>
    </row>
    <row r="529">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c r="CO529" s="24"/>
      <c r="CP529" s="24"/>
      <c r="CQ529" s="24"/>
      <c r="CR529" s="24"/>
      <c r="CS529" s="24"/>
      <c r="CT529" s="24"/>
      <c r="CU529" s="24"/>
    </row>
    <row r="530">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c r="BX530" s="24"/>
      <c r="BY530" s="24"/>
      <c r="BZ530" s="24"/>
      <c r="CA530" s="24"/>
      <c r="CB530" s="24"/>
      <c r="CC530" s="24"/>
      <c r="CD530" s="24"/>
      <c r="CE530" s="24"/>
      <c r="CF530" s="24"/>
      <c r="CG530" s="24"/>
      <c r="CH530" s="24"/>
      <c r="CI530" s="24"/>
      <c r="CJ530" s="24"/>
      <c r="CK530" s="24"/>
      <c r="CL530" s="24"/>
      <c r="CM530" s="24"/>
      <c r="CN530" s="24"/>
      <c r="CO530" s="24"/>
      <c r="CP530" s="24"/>
      <c r="CQ530" s="24"/>
      <c r="CR530" s="24"/>
      <c r="CS530" s="24"/>
      <c r="CT530" s="24"/>
      <c r="CU530" s="24"/>
    </row>
    <row r="531">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c r="CR531" s="24"/>
      <c r="CS531" s="24"/>
      <c r="CT531" s="24"/>
      <c r="CU531" s="24"/>
    </row>
    <row r="532">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c r="BX532" s="24"/>
      <c r="BY532" s="24"/>
      <c r="BZ532" s="24"/>
      <c r="CA532" s="24"/>
      <c r="CB532" s="24"/>
      <c r="CC532" s="24"/>
      <c r="CD532" s="24"/>
      <c r="CE532" s="24"/>
      <c r="CF532" s="24"/>
      <c r="CG532" s="24"/>
      <c r="CH532" s="24"/>
      <c r="CI532" s="24"/>
      <c r="CJ532" s="24"/>
      <c r="CK532" s="24"/>
      <c r="CL532" s="24"/>
      <c r="CM532" s="24"/>
      <c r="CN532" s="24"/>
      <c r="CO532" s="24"/>
      <c r="CP532" s="24"/>
      <c r="CQ532" s="24"/>
      <c r="CR532" s="24"/>
      <c r="CS532" s="24"/>
      <c r="CT532" s="24"/>
      <c r="CU532" s="24"/>
    </row>
    <row r="533">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c r="CO533" s="24"/>
      <c r="CP533" s="24"/>
      <c r="CQ533" s="24"/>
      <c r="CR533" s="24"/>
      <c r="CS533" s="24"/>
      <c r="CT533" s="24"/>
      <c r="CU533" s="24"/>
    </row>
    <row r="53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c r="CM534" s="24"/>
      <c r="CN534" s="24"/>
      <c r="CO534" s="24"/>
      <c r="CP534" s="24"/>
      <c r="CQ534" s="24"/>
      <c r="CR534" s="24"/>
      <c r="CS534" s="24"/>
      <c r="CT534" s="24"/>
      <c r="CU534" s="24"/>
    </row>
    <row r="535">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c r="CR535" s="24"/>
      <c r="CS535" s="24"/>
      <c r="CT535" s="24"/>
      <c r="CU535" s="24"/>
    </row>
    <row r="536">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c r="CM536" s="24"/>
      <c r="CN536" s="24"/>
      <c r="CO536" s="24"/>
      <c r="CP536" s="24"/>
      <c r="CQ536" s="24"/>
      <c r="CR536" s="24"/>
      <c r="CS536" s="24"/>
      <c r="CT536" s="24"/>
      <c r="CU536" s="24"/>
    </row>
    <row r="537">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c r="CR537" s="24"/>
      <c r="CS537" s="24"/>
      <c r="CT537" s="24"/>
      <c r="CU537" s="24"/>
    </row>
    <row r="538">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c r="CM538" s="24"/>
      <c r="CN538" s="24"/>
      <c r="CO538" s="24"/>
      <c r="CP538" s="24"/>
      <c r="CQ538" s="24"/>
      <c r="CR538" s="24"/>
      <c r="CS538" s="24"/>
      <c r="CT538" s="24"/>
      <c r="CU538" s="24"/>
    </row>
    <row r="539">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c r="CR539" s="24"/>
      <c r="CS539" s="24"/>
      <c r="CT539" s="24"/>
      <c r="CU539" s="24"/>
    </row>
    <row r="540">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c r="CM540" s="24"/>
      <c r="CN540" s="24"/>
      <c r="CO540" s="24"/>
      <c r="CP540" s="24"/>
      <c r="CQ540" s="24"/>
      <c r="CR540" s="24"/>
      <c r="CS540" s="24"/>
      <c r="CT540" s="24"/>
      <c r="CU540" s="24"/>
    </row>
    <row r="541">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c r="CT541" s="24"/>
      <c r="CU541" s="24"/>
    </row>
    <row r="542">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c r="CM542" s="24"/>
      <c r="CN542" s="24"/>
      <c r="CO542" s="24"/>
      <c r="CP542" s="24"/>
      <c r="CQ542" s="24"/>
      <c r="CR542" s="24"/>
      <c r="CS542" s="24"/>
      <c r="CT542" s="24"/>
      <c r="CU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c r="CR543" s="24"/>
      <c r="CS543" s="24"/>
      <c r="CT543" s="24"/>
      <c r="CU543" s="24"/>
    </row>
    <row r="54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c r="CM544" s="24"/>
      <c r="CN544" s="24"/>
      <c r="CO544" s="24"/>
      <c r="CP544" s="24"/>
      <c r="CQ544" s="24"/>
      <c r="CR544" s="24"/>
      <c r="CS544" s="24"/>
      <c r="CT544" s="24"/>
      <c r="CU544" s="24"/>
    </row>
    <row r="545">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c r="CR545" s="24"/>
      <c r="CS545" s="24"/>
      <c r="CT545" s="24"/>
      <c r="CU545" s="24"/>
    </row>
    <row r="546">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c r="BT546" s="24"/>
      <c r="BU546" s="24"/>
      <c r="BV546" s="24"/>
      <c r="BW546" s="24"/>
      <c r="BX546" s="24"/>
      <c r="BY546" s="24"/>
      <c r="BZ546" s="24"/>
      <c r="CA546" s="24"/>
      <c r="CB546" s="24"/>
      <c r="CC546" s="24"/>
      <c r="CD546" s="24"/>
      <c r="CE546" s="24"/>
      <c r="CF546" s="24"/>
      <c r="CG546" s="24"/>
      <c r="CH546" s="24"/>
      <c r="CI546" s="24"/>
      <c r="CJ546" s="24"/>
      <c r="CK546" s="24"/>
      <c r="CL546" s="24"/>
      <c r="CM546" s="24"/>
      <c r="CN546" s="24"/>
      <c r="CO546" s="24"/>
      <c r="CP546" s="24"/>
      <c r="CQ546" s="24"/>
      <c r="CR546" s="24"/>
      <c r="CS546" s="24"/>
      <c r="CT546" s="24"/>
      <c r="CU546" s="24"/>
    </row>
    <row r="547">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c r="CR547" s="24"/>
      <c r="CS547" s="24"/>
      <c r="CT547" s="24"/>
      <c r="CU547" s="24"/>
    </row>
    <row r="548">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c r="BT548" s="24"/>
      <c r="BU548" s="24"/>
      <c r="BV548" s="24"/>
      <c r="BW548" s="24"/>
      <c r="BX548" s="24"/>
      <c r="BY548" s="24"/>
      <c r="BZ548" s="24"/>
      <c r="CA548" s="24"/>
      <c r="CB548" s="24"/>
      <c r="CC548" s="24"/>
      <c r="CD548" s="24"/>
      <c r="CE548" s="24"/>
      <c r="CF548" s="24"/>
      <c r="CG548" s="24"/>
      <c r="CH548" s="24"/>
      <c r="CI548" s="24"/>
      <c r="CJ548" s="24"/>
      <c r="CK548" s="24"/>
      <c r="CL548" s="24"/>
      <c r="CM548" s="24"/>
      <c r="CN548" s="24"/>
      <c r="CO548" s="24"/>
      <c r="CP548" s="24"/>
      <c r="CQ548" s="24"/>
      <c r="CR548" s="24"/>
      <c r="CS548" s="24"/>
      <c r="CT548" s="24"/>
      <c r="CU548" s="24"/>
    </row>
    <row r="549">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c r="CR549" s="24"/>
      <c r="CS549" s="24"/>
      <c r="CT549" s="24"/>
      <c r="CU549" s="24"/>
    </row>
    <row r="550">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c r="CM550" s="24"/>
      <c r="CN550" s="24"/>
      <c r="CO550" s="24"/>
      <c r="CP550" s="24"/>
      <c r="CQ550" s="24"/>
      <c r="CR550" s="24"/>
      <c r="CS550" s="24"/>
      <c r="CT550" s="24"/>
      <c r="CU550" s="24"/>
    </row>
    <row r="551">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c r="CR551" s="24"/>
      <c r="CS551" s="24"/>
      <c r="CT551" s="24"/>
      <c r="CU551" s="24"/>
    </row>
    <row r="552">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c r="BT552" s="24"/>
      <c r="BU552" s="24"/>
      <c r="BV552" s="24"/>
      <c r="BW552" s="24"/>
      <c r="BX552" s="24"/>
      <c r="BY552" s="24"/>
      <c r="BZ552" s="24"/>
      <c r="CA552" s="24"/>
      <c r="CB552" s="24"/>
      <c r="CC552" s="24"/>
      <c r="CD552" s="24"/>
      <c r="CE552" s="24"/>
      <c r="CF552" s="24"/>
      <c r="CG552" s="24"/>
      <c r="CH552" s="24"/>
      <c r="CI552" s="24"/>
      <c r="CJ552" s="24"/>
      <c r="CK552" s="24"/>
      <c r="CL552" s="24"/>
      <c r="CM552" s="24"/>
      <c r="CN552" s="24"/>
      <c r="CO552" s="24"/>
      <c r="CP552" s="24"/>
      <c r="CQ552" s="24"/>
      <c r="CR552" s="24"/>
      <c r="CS552" s="24"/>
      <c r="CT552" s="24"/>
      <c r="CU552" s="24"/>
    </row>
    <row r="553">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c r="CR553" s="24"/>
      <c r="CS553" s="24"/>
      <c r="CT553" s="24"/>
      <c r="CU553" s="24"/>
    </row>
    <row r="55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c r="BT554" s="24"/>
      <c r="BU554" s="24"/>
      <c r="BV554" s="24"/>
      <c r="BW554" s="24"/>
      <c r="BX554" s="24"/>
      <c r="BY554" s="24"/>
      <c r="BZ554" s="24"/>
      <c r="CA554" s="24"/>
      <c r="CB554" s="24"/>
      <c r="CC554" s="24"/>
      <c r="CD554" s="24"/>
      <c r="CE554" s="24"/>
      <c r="CF554" s="24"/>
      <c r="CG554" s="24"/>
      <c r="CH554" s="24"/>
      <c r="CI554" s="24"/>
      <c r="CJ554" s="24"/>
      <c r="CK554" s="24"/>
      <c r="CL554" s="24"/>
      <c r="CM554" s="24"/>
      <c r="CN554" s="24"/>
      <c r="CO554" s="24"/>
      <c r="CP554" s="24"/>
      <c r="CQ554" s="24"/>
      <c r="CR554" s="24"/>
      <c r="CS554" s="24"/>
      <c r="CT554" s="24"/>
      <c r="CU554" s="24"/>
    </row>
    <row r="555">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c r="CR555" s="24"/>
      <c r="CS555" s="24"/>
      <c r="CT555" s="24"/>
      <c r="CU555" s="24"/>
    </row>
    <row r="556">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c r="CM556" s="24"/>
      <c r="CN556" s="24"/>
      <c r="CO556" s="24"/>
      <c r="CP556" s="24"/>
      <c r="CQ556" s="24"/>
      <c r="CR556" s="24"/>
      <c r="CS556" s="24"/>
      <c r="CT556" s="24"/>
      <c r="CU556" s="24"/>
    </row>
    <row r="557">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c r="CR557" s="24"/>
      <c r="CS557" s="24"/>
      <c r="CT557" s="24"/>
      <c r="CU557" s="24"/>
    </row>
    <row r="558">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c r="CM558" s="24"/>
      <c r="CN558" s="24"/>
      <c r="CO558" s="24"/>
      <c r="CP558" s="24"/>
      <c r="CQ558" s="24"/>
      <c r="CR558" s="24"/>
      <c r="CS558" s="24"/>
      <c r="CT558" s="24"/>
      <c r="CU558" s="24"/>
    </row>
    <row r="559">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c r="CT559" s="24"/>
      <c r="CU559" s="24"/>
    </row>
    <row r="560">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c r="BT560" s="24"/>
      <c r="BU560" s="24"/>
      <c r="BV560" s="24"/>
      <c r="BW560" s="24"/>
      <c r="BX560" s="24"/>
      <c r="BY560" s="24"/>
      <c r="BZ560" s="24"/>
      <c r="CA560" s="24"/>
      <c r="CB560" s="24"/>
      <c r="CC560" s="24"/>
      <c r="CD560" s="24"/>
      <c r="CE560" s="24"/>
      <c r="CF560" s="24"/>
      <c r="CG560" s="24"/>
      <c r="CH560" s="24"/>
      <c r="CI560" s="24"/>
      <c r="CJ560" s="24"/>
      <c r="CK560" s="24"/>
      <c r="CL560" s="24"/>
      <c r="CM560" s="24"/>
      <c r="CN560" s="24"/>
      <c r="CO560" s="24"/>
      <c r="CP560" s="24"/>
      <c r="CQ560" s="24"/>
      <c r="CR560" s="24"/>
      <c r="CS560" s="24"/>
      <c r="CT560" s="24"/>
      <c r="CU560" s="24"/>
    </row>
    <row r="561">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c r="CR561" s="24"/>
      <c r="CS561" s="24"/>
      <c r="CT561" s="24"/>
      <c r="CU561" s="24"/>
    </row>
    <row r="562">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c r="BT562" s="24"/>
      <c r="BU562" s="24"/>
      <c r="BV562" s="24"/>
      <c r="BW562" s="24"/>
      <c r="BX562" s="24"/>
      <c r="BY562" s="24"/>
      <c r="BZ562" s="24"/>
      <c r="CA562" s="24"/>
      <c r="CB562" s="24"/>
      <c r="CC562" s="24"/>
      <c r="CD562" s="24"/>
      <c r="CE562" s="24"/>
      <c r="CF562" s="24"/>
      <c r="CG562" s="24"/>
      <c r="CH562" s="24"/>
      <c r="CI562" s="24"/>
      <c r="CJ562" s="24"/>
      <c r="CK562" s="24"/>
      <c r="CL562" s="24"/>
      <c r="CM562" s="24"/>
      <c r="CN562" s="24"/>
      <c r="CO562" s="24"/>
      <c r="CP562" s="24"/>
      <c r="CQ562" s="24"/>
      <c r="CR562" s="24"/>
      <c r="CS562" s="24"/>
      <c r="CT562" s="24"/>
      <c r="CU562" s="24"/>
    </row>
    <row r="563">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c r="CT563" s="24"/>
      <c r="CU563" s="24"/>
    </row>
    <row r="56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c r="BT564" s="24"/>
      <c r="BU564" s="24"/>
      <c r="BV564" s="24"/>
      <c r="BW564" s="24"/>
      <c r="BX564" s="24"/>
      <c r="BY564" s="24"/>
      <c r="BZ564" s="24"/>
      <c r="CA564" s="24"/>
      <c r="CB564" s="24"/>
      <c r="CC564" s="24"/>
      <c r="CD564" s="24"/>
      <c r="CE564" s="24"/>
      <c r="CF564" s="24"/>
      <c r="CG564" s="24"/>
      <c r="CH564" s="24"/>
      <c r="CI564" s="24"/>
      <c r="CJ564" s="24"/>
      <c r="CK564" s="24"/>
      <c r="CL564" s="24"/>
      <c r="CM564" s="24"/>
      <c r="CN564" s="24"/>
      <c r="CO564" s="24"/>
      <c r="CP564" s="24"/>
      <c r="CQ564" s="24"/>
      <c r="CR564" s="24"/>
      <c r="CS564" s="24"/>
      <c r="CT564" s="24"/>
      <c r="CU564" s="24"/>
    </row>
    <row r="565">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c r="CO565" s="24"/>
      <c r="CP565" s="24"/>
      <c r="CQ565" s="24"/>
      <c r="CR565" s="24"/>
      <c r="CS565" s="24"/>
      <c r="CT565" s="24"/>
      <c r="CU565" s="24"/>
    </row>
    <row r="566">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c r="BX566" s="24"/>
      <c r="BY566" s="24"/>
      <c r="BZ566" s="24"/>
      <c r="CA566" s="24"/>
      <c r="CB566" s="24"/>
      <c r="CC566" s="24"/>
      <c r="CD566" s="24"/>
      <c r="CE566" s="24"/>
      <c r="CF566" s="24"/>
      <c r="CG566" s="24"/>
      <c r="CH566" s="24"/>
      <c r="CI566" s="24"/>
      <c r="CJ566" s="24"/>
      <c r="CK566" s="24"/>
      <c r="CL566" s="24"/>
      <c r="CM566" s="24"/>
      <c r="CN566" s="24"/>
      <c r="CO566" s="24"/>
      <c r="CP566" s="24"/>
      <c r="CQ566" s="24"/>
      <c r="CR566" s="24"/>
      <c r="CS566" s="24"/>
      <c r="CT566" s="24"/>
      <c r="CU566" s="24"/>
    </row>
    <row r="567">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c r="CR567" s="24"/>
      <c r="CS567" s="24"/>
      <c r="CT567" s="24"/>
      <c r="CU567" s="24"/>
    </row>
    <row r="568">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c r="BT568" s="24"/>
      <c r="BU568" s="24"/>
      <c r="BV568" s="24"/>
      <c r="BW568" s="24"/>
      <c r="BX568" s="24"/>
      <c r="BY568" s="24"/>
      <c r="BZ568" s="24"/>
      <c r="CA568" s="24"/>
      <c r="CB568" s="24"/>
      <c r="CC568" s="24"/>
      <c r="CD568" s="24"/>
      <c r="CE568" s="24"/>
      <c r="CF568" s="24"/>
      <c r="CG568" s="24"/>
      <c r="CH568" s="24"/>
      <c r="CI568" s="24"/>
      <c r="CJ568" s="24"/>
      <c r="CK568" s="24"/>
      <c r="CL568" s="24"/>
      <c r="CM568" s="24"/>
      <c r="CN568" s="24"/>
      <c r="CO568" s="24"/>
      <c r="CP568" s="24"/>
      <c r="CQ568" s="24"/>
      <c r="CR568" s="24"/>
      <c r="CS568" s="24"/>
      <c r="CT568" s="24"/>
      <c r="CU568" s="24"/>
    </row>
    <row r="569">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c r="CM569" s="24"/>
      <c r="CN569" s="24"/>
      <c r="CO569" s="24"/>
      <c r="CP569" s="24"/>
      <c r="CQ569" s="24"/>
      <c r="CR569" s="24"/>
      <c r="CS569" s="24"/>
      <c r="CT569" s="24"/>
      <c r="CU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c r="CM570" s="24"/>
      <c r="CN570" s="24"/>
      <c r="CO570" s="24"/>
      <c r="CP570" s="24"/>
      <c r="CQ570" s="24"/>
      <c r="CR570" s="24"/>
      <c r="CS570" s="24"/>
      <c r="CT570" s="24"/>
      <c r="CU570" s="24"/>
    </row>
    <row r="571">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row>
    <row r="572">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c r="BT572" s="24"/>
      <c r="BU572" s="24"/>
      <c r="BV572" s="24"/>
      <c r="BW572" s="24"/>
      <c r="BX572" s="24"/>
      <c r="BY572" s="24"/>
      <c r="BZ572" s="24"/>
      <c r="CA572" s="24"/>
      <c r="CB572" s="24"/>
      <c r="CC572" s="24"/>
      <c r="CD572" s="24"/>
      <c r="CE572" s="24"/>
      <c r="CF572" s="24"/>
      <c r="CG572" s="24"/>
      <c r="CH572" s="24"/>
      <c r="CI572" s="24"/>
      <c r="CJ572" s="24"/>
      <c r="CK572" s="24"/>
      <c r="CL572" s="24"/>
      <c r="CM572" s="24"/>
      <c r="CN572" s="24"/>
      <c r="CO572" s="24"/>
      <c r="CP572" s="24"/>
      <c r="CQ572" s="24"/>
      <c r="CR572" s="24"/>
      <c r="CS572" s="24"/>
      <c r="CT572" s="24"/>
      <c r="CU572" s="24"/>
    </row>
    <row r="573">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c r="CR573" s="24"/>
      <c r="CS573" s="24"/>
      <c r="CT573" s="24"/>
      <c r="CU573" s="24"/>
    </row>
    <row r="57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c r="BT574" s="24"/>
      <c r="BU574" s="24"/>
      <c r="BV574" s="24"/>
      <c r="BW574" s="24"/>
      <c r="BX574" s="24"/>
      <c r="BY574" s="24"/>
      <c r="BZ574" s="24"/>
      <c r="CA574" s="24"/>
      <c r="CB574" s="24"/>
      <c r="CC574" s="24"/>
      <c r="CD574" s="24"/>
      <c r="CE574" s="24"/>
      <c r="CF574" s="24"/>
      <c r="CG574" s="24"/>
      <c r="CH574" s="24"/>
      <c r="CI574" s="24"/>
      <c r="CJ574" s="24"/>
      <c r="CK574" s="24"/>
      <c r="CL574" s="24"/>
      <c r="CM574" s="24"/>
      <c r="CN574" s="24"/>
      <c r="CO574" s="24"/>
      <c r="CP574" s="24"/>
      <c r="CQ574" s="24"/>
      <c r="CR574" s="24"/>
      <c r="CS574" s="24"/>
      <c r="CT574" s="24"/>
      <c r="CU574" s="24"/>
    </row>
    <row r="575">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c r="CR575" s="24"/>
      <c r="CS575" s="24"/>
      <c r="CT575" s="24"/>
      <c r="CU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c r="BT576" s="24"/>
      <c r="BU576" s="24"/>
      <c r="BV576" s="24"/>
      <c r="BW576" s="24"/>
      <c r="BX576" s="24"/>
      <c r="BY576" s="24"/>
      <c r="BZ576" s="24"/>
      <c r="CA576" s="24"/>
      <c r="CB576" s="24"/>
      <c r="CC576" s="24"/>
      <c r="CD576" s="24"/>
      <c r="CE576" s="24"/>
      <c r="CF576" s="24"/>
      <c r="CG576" s="24"/>
      <c r="CH576" s="24"/>
      <c r="CI576" s="24"/>
      <c r="CJ576" s="24"/>
      <c r="CK576" s="24"/>
      <c r="CL576" s="24"/>
      <c r="CM576" s="24"/>
      <c r="CN576" s="24"/>
      <c r="CO576" s="24"/>
      <c r="CP576" s="24"/>
      <c r="CQ576" s="24"/>
      <c r="CR576" s="24"/>
      <c r="CS576" s="24"/>
      <c r="CT576" s="24"/>
      <c r="CU576" s="24"/>
    </row>
    <row r="577">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c r="BX577" s="24"/>
      <c r="BY577" s="24"/>
      <c r="BZ577" s="24"/>
      <c r="CA577" s="24"/>
      <c r="CB577" s="24"/>
      <c r="CC577" s="24"/>
      <c r="CD577" s="24"/>
      <c r="CE577" s="24"/>
      <c r="CF577" s="24"/>
      <c r="CG577" s="24"/>
      <c r="CH577" s="24"/>
      <c r="CI577" s="24"/>
      <c r="CJ577" s="24"/>
      <c r="CK577" s="24"/>
      <c r="CL577" s="24"/>
      <c r="CM577" s="24"/>
      <c r="CN577" s="24"/>
      <c r="CO577" s="24"/>
      <c r="CP577" s="24"/>
      <c r="CQ577" s="24"/>
      <c r="CR577" s="24"/>
      <c r="CS577" s="24"/>
      <c r="CT577" s="24"/>
      <c r="CU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c r="BR578" s="24"/>
      <c r="BS578" s="24"/>
      <c r="BT578" s="24"/>
      <c r="BU578" s="24"/>
      <c r="BV578" s="24"/>
      <c r="BW578" s="24"/>
      <c r="BX578" s="24"/>
      <c r="BY578" s="24"/>
      <c r="BZ578" s="24"/>
      <c r="CA578" s="24"/>
      <c r="CB578" s="24"/>
      <c r="CC578" s="24"/>
      <c r="CD578" s="24"/>
      <c r="CE578" s="24"/>
      <c r="CF578" s="24"/>
      <c r="CG578" s="24"/>
      <c r="CH578" s="24"/>
      <c r="CI578" s="24"/>
      <c r="CJ578" s="24"/>
      <c r="CK578" s="24"/>
      <c r="CL578" s="24"/>
      <c r="CM578" s="24"/>
      <c r="CN578" s="24"/>
      <c r="CO578" s="24"/>
      <c r="CP578" s="24"/>
      <c r="CQ578" s="24"/>
      <c r="CR578" s="24"/>
      <c r="CS578" s="24"/>
      <c r="CT578" s="24"/>
      <c r="CU578" s="24"/>
    </row>
    <row r="579">
      <c r="A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c r="CM579" s="24"/>
      <c r="CN579" s="24"/>
      <c r="CO579" s="24"/>
      <c r="CP579" s="24"/>
      <c r="CQ579" s="24"/>
      <c r="CR579" s="24"/>
      <c r="CS579" s="24"/>
      <c r="CT579" s="24"/>
      <c r="CU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c r="BR580" s="24"/>
      <c r="BS580" s="24"/>
      <c r="BT580" s="24"/>
      <c r="BU580" s="24"/>
      <c r="BV580" s="24"/>
      <c r="BW580" s="24"/>
      <c r="BX580" s="24"/>
      <c r="BY580" s="24"/>
      <c r="BZ580" s="24"/>
      <c r="CA580" s="24"/>
      <c r="CB580" s="24"/>
      <c r="CC580" s="24"/>
      <c r="CD580" s="24"/>
      <c r="CE580" s="24"/>
      <c r="CF580" s="24"/>
      <c r="CG580" s="24"/>
      <c r="CH580" s="24"/>
      <c r="CI580" s="24"/>
      <c r="CJ580" s="24"/>
      <c r="CK580" s="24"/>
      <c r="CL580" s="24"/>
      <c r="CM580" s="24"/>
      <c r="CN580" s="24"/>
      <c r="CO580" s="24"/>
      <c r="CP580" s="24"/>
      <c r="CQ580" s="24"/>
      <c r="CR580" s="24"/>
      <c r="CS580" s="24"/>
      <c r="CT580" s="24"/>
      <c r="CU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c r="CM581" s="24"/>
      <c r="CN581" s="24"/>
      <c r="CO581" s="24"/>
      <c r="CP581" s="24"/>
      <c r="CQ581" s="24"/>
      <c r="CR581" s="24"/>
      <c r="CS581" s="24"/>
      <c r="CT581" s="24"/>
      <c r="CU581" s="24"/>
    </row>
    <row r="582">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c r="BR582" s="24"/>
      <c r="BS582" s="24"/>
      <c r="BT582" s="24"/>
      <c r="BU582" s="24"/>
      <c r="BV582" s="24"/>
      <c r="BW582" s="24"/>
      <c r="BX582" s="24"/>
      <c r="BY582" s="24"/>
      <c r="BZ582" s="24"/>
      <c r="CA582" s="24"/>
      <c r="CB582" s="24"/>
      <c r="CC582" s="24"/>
      <c r="CD582" s="24"/>
      <c r="CE582" s="24"/>
      <c r="CF582" s="24"/>
      <c r="CG582" s="24"/>
      <c r="CH582" s="24"/>
      <c r="CI582" s="24"/>
      <c r="CJ582" s="24"/>
      <c r="CK582" s="24"/>
      <c r="CL582" s="24"/>
      <c r="CM582" s="24"/>
      <c r="CN582" s="24"/>
      <c r="CO582" s="24"/>
      <c r="CP582" s="24"/>
      <c r="CQ582" s="24"/>
      <c r="CR582" s="24"/>
      <c r="CS582" s="24"/>
      <c r="CT582" s="24"/>
      <c r="CU582" s="24"/>
    </row>
    <row r="583">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c r="BX583" s="24"/>
      <c r="BY583" s="24"/>
      <c r="BZ583" s="24"/>
      <c r="CA583" s="24"/>
      <c r="CB583" s="24"/>
      <c r="CC583" s="24"/>
      <c r="CD583" s="24"/>
      <c r="CE583" s="24"/>
      <c r="CF583" s="24"/>
      <c r="CG583" s="24"/>
      <c r="CH583" s="24"/>
      <c r="CI583" s="24"/>
      <c r="CJ583" s="24"/>
      <c r="CK583" s="24"/>
      <c r="CL583" s="24"/>
      <c r="CM583" s="24"/>
      <c r="CN583" s="24"/>
      <c r="CO583" s="24"/>
      <c r="CP583" s="24"/>
      <c r="CQ583" s="24"/>
      <c r="CR583" s="24"/>
      <c r="CS583" s="24"/>
      <c r="CT583" s="24"/>
      <c r="CU583" s="24"/>
    </row>
    <row r="58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c r="BR584" s="24"/>
      <c r="BS584" s="24"/>
      <c r="BT584" s="24"/>
      <c r="BU584" s="24"/>
      <c r="BV584" s="24"/>
      <c r="BW584" s="24"/>
      <c r="BX584" s="24"/>
      <c r="BY584" s="24"/>
      <c r="BZ584" s="24"/>
      <c r="CA584" s="24"/>
      <c r="CB584" s="24"/>
      <c r="CC584" s="24"/>
      <c r="CD584" s="24"/>
      <c r="CE584" s="24"/>
      <c r="CF584" s="24"/>
      <c r="CG584" s="24"/>
      <c r="CH584" s="24"/>
      <c r="CI584" s="24"/>
      <c r="CJ584" s="24"/>
      <c r="CK584" s="24"/>
      <c r="CL584" s="24"/>
      <c r="CM584" s="24"/>
      <c r="CN584" s="24"/>
      <c r="CO584" s="24"/>
      <c r="CP584" s="24"/>
      <c r="CQ584" s="24"/>
      <c r="CR584" s="24"/>
      <c r="CS584" s="24"/>
      <c r="CT584" s="24"/>
      <c r="CU584" s="24"/>
    </row>
    <row r="585">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c r="BX585" s="24"/>
      <c r="BY585" s="24"/>
      <c r="BZ585" s="24"/>
      <c r="CA585" s="24"/>
      <c r="CB585" s="24"/>
      <c r="CC585" s="24"/>
      <c r="CD585" s="24"/>
      <c r="CE585" s="24"/>
      <c r="CF585" s="24"/>
      <c r="CG585" s="24"/>
      <c r="CH585" s="24"/>
      <c r="CI585" s="24"/>
      <c r="CJ585" s="24"/>
      <c r="CK585" s="24"/>
      <c r="CL585" s="24"/>
      <c r="CM585" s="24"/>
      <c r="CN585" s="24"/>
      <c r="CO585" s="24"/>
      <c r="CP585" s="24"/>
      <c r="CQ585" s="24"/>
      <c r="CR585" s="24"/>
      <c r="CS585" s="24"/>
      <c r="CT585" s="24"/>
      <c r="CU585" s="24"/>
    </row>
    <row r="586">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c r="BQ586" s="24"/>
      <c r="BR586" s="24"/>
      <c r="BS586" s="24"/>
      <c r="BT586" s="24"/>
      <c r="BU586" s="24"/>
      <c r="BV586" s="24"/>
      <c r="BW586" s="24"/>
      <c r="BX586" s="24"/>
      <c r="BY586" s="24"/>
      <c r="BZ586" s="24"/>
      <c r="CA586" s="24"/>
      <c r="CB586" s="24"/>
      <c r="CC586" s="24"/>
      <c r="CD586" s="24"/>
      <c r="CE586" s="24"/>
      <c r="CF586" s="24"/>
      <c r="CG586" s="24"/>
      <c r="CH586" s="24"/>
      <c r="CI586" s="24"/>
      <c r="CJ586" s="24"/>
      <c r="CK586" s="24"/>
      <c r="CL586" s="24"/>
      <c r="CM586" s="24"/>
      <c r="CN586" s="24"/>
      <c r="CO586" s="24"/>
      <c r="CP586" s="24"/>
      <c r="CQ586" s="24"/>
      <c r="CR586" s="24"/>
      <c r="CS586" s="24"/>
      <c r="CT586" s="24"/>
      <c r="CU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c r="CM587" s="24"/>
      <c r="CN587" s="24"/>
      <c r="CO587" s="24"/>
      <c r="CP587" s="24"/>
      <c r="CQ587" s="24"/>
      <c r="CR587" s="24"/>
      <c r="CS587" s="24"/>
      <c r="CT587" s="24"/>
      <c r="CU587" s="24"/>
    </row>
    <row r="588">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c r="BQ588" s="24"/>
      <c r="BR588" s="24"/>
      <c r="BS588" s="24"/>
      <c r="BT588" s="24"/>
      <c r="BU588" s="24"/>
      <c r="BV588" s="24"/>
      <c r="BW588" s="24"/>
      <c r="BX588" s="24"/>
      <c r="BY588" s="24"/>
      <c r="BZ588" s="24"/>
      <c r="CA588" s="24"/>
      <c r="CB588" s="24"/>
      <c r="CC588" s="24"/>
      <c r="CD588" s="24"/>
      <c r="CE588" s="24"/>
      <c r="CF588" s="24"/>
      <c r="CG588" s="24"/>
      <c r="CH588" s="24"/>
      <c r="CI588" s="24"/>
      <c r="CJ588" s="24"/>
      <c r="CK588" s="24"/>
      <c r="CL588" s="24"/>
      <c r="CM588" s="24"/>
      <c r="CN588" s="24"/>
      <c r="CO588" s="24"/>
      <c r="CP588" s="24"/>
      <c r="CQ588" s="24"/>
      <c r="CR588" s="24"/>
      <c r="CS588" s="24"/>
      <c r="CT588" s="24"/>
      <c r="CU588" s="24"/>
    </row>
    <row r="589">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c r="BT589" s="24"/>
      <c r="BU589" s="24"/>
      <c r="BV589" s="24"/>
      <c r="BW589" s="24"/>
      <c r="BX589" s="24"/>
      <c r="BY589" s="24"/>
      <c r="BZ589" s="24"/>
      <c r="CA589" s="24"/>
      <c r="CB589" s="24"/>
      <c r="CC589" s="24"/>
      <c r="CD589" s="24"/>
      <c r="CE589" s="24"/>
      <c r="CF589" s="24"/>
      <c r="CG589" s="24"/>
      <c r="CH589" s="24"/>
      <c r="CI589" s="24"/>
      <c r="CJ589" s="24"/>
      <c r="CK589" s="24"/>
      <c r="CL589" s="24"/>
      <c r="CM589" s="24"/>
      <c r="CN589" s="24"/>
      <c r="CO589" s="24"/>
      <c r="CP589" s="24"/>
      <c r="CQ589" s="24"/>
      <c r="CR589" s="24"/>
      <c r="CS589" s="24"/>
      <c r="CT589" s="24"/>
      <c r="CU589" s="24"/>
    </row>
    <row r="590">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c r="BQ590" s="24"/>
      <c r="BR590" s="24"/>
      <c r="BS590" s="24"/>
      <c r="BT590" s="24"/>
      <c r="BU590" s="24"/>
      <c r="BV590" s="24"/>
      <c r="BW590" s="24"/>
      <c r="BX590" s="24"/>
      <c r="BY590" s="24"/>
      <c r="BZ590" s="24"/>
      <c r="CA590" s="24"/>
      <c r="CB590" s="24"/>
      <c r="CC590" s="24"/>
      <c r="CD590" s="24"/>
      <c r="CE590" s="24"/>
      <c r="CF590" s="24"/>
      <c r="CG590" s="24"/>
      <c r="CH590" s="24"/>
      <c r="CI590" s="24"/>
      <c r="CJ590" s="24"/>
      <c r="CK590" s="24"/>
      <c r="CL590" s="24"/>
      <c r="CM590" s="24"/>
      <c r="CN590" s="24"/>
      <c r="CO590" s="24"/>
      <c r="CP590" s="24"/>
      <c r="CQ590" s="24"/>
      <c r="CR590" s="24"/>
      <c r="CS590" s="24"/>
      <c r="CT590" s="24"/>
      <c r="CU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c r="CM591" s="24"/>
      <c r="CN591" s="24"/>
      <c r="CO591" s="24"/>
      <c r="CP591" s="24"/>
      <c r="CQ591" s="24"/>
      <c r="CR591" s="24"/>
      <c r="CS591" s="24"/>
      <c r="CT591" s="24"/>
      <c r="CU591" s="24"/>
    </row>
    <row r="592">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c r="BR592" s="24"/>
      <c r="BS592" s="24"/>
      <c r="BT592" s="24"/>
      <c r="BU592" s="24"/>
      <c r="BV592" s="24"/>
      <c r="BW592" s="24"/>
      <c r="BX592" s="24"/>
      <c r="BY592" s="24"/>
      <c r="BZ592" s="24"/>
      <c r="CA592" s="24"/>
      <c r="CB592" s="24"/>
      <c r="CC592" s="24"/>
      <c r="CD592" s="24"/>
      <c r="CE592" s="24"/>
      <c r="CF592" s="24"/>
      <c r="CG592" s="24"/>
      <c r="CH592" s="24"/>
      <c r="CI592" s="24"/>
      <c r="CJ592" s="24"/>
      <c r="CK592" s="24"/>
      <c r="CL592" s="24"/>
      <c r="CM592" s="24"/>
      <c r="CN592" s="24"/>
      <c r="CO592" s="24"/>
      <c r="CP592" s="24"/>
      <c r="CQ592" s="24"/>
      <c r="CR592" s="24"/>
      <c r="CS592" s="24"/>
      <c r="CT592" s="24"/>
      <c r="CU592" s="24"/>
    </row>
    <row r="593">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c r="BT593" s="24"/>
      <c r="BU593" s="24"/>
      <c r="BV593" s="24"/>
      <c r="BW593" s="24"/>
      <c r="BX593" s="24"/>
      <c r="BY593" s="24"/>
      <c r="BZ593" s="24"/>
      <c r="CA593" s="24"/>
      <c r="CB593" s="24"/>
      <c r="CC593" s="24"/>
      <c r="CD593" s="24"/>
      <c r="CE593" s="24"/>
      <c r="CF593" s="24"/>
      <c r="CG593" s="24"/>
      <c r="CH593" s="24"/>
      <c r="CI593" s="24"/>
      <c r="CJ593" s="24"/>
      <c r="CK593" s="24"/>
      <c r="CL593" s="24"/>
      <c r="CM593" s="24"/>
      <c r="CN593" s="24"/>
      <c r="CO593" s="24"/>
      <c r="CP593" s="24"/>
      <c r="CQ593" s="24"/>
      <c r="CR593" s="24"/>
      <c r="CS593" s="24"/>
      <c r="CT593" s="24"/>
      <c r="CU593" s="24"/>
    </row>
    <row r="59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c r="BQ594" s="24"/>
      <c r="BR594" s="24"/>
      <c r="BS594" s="24"/>
      <c r="BT594" s="24"/>
      <c r="BU594" s="24"/>
      <c r="BV594" s="24"/>
      <c r="BW594" s="24"/>
      <c r="BX594" s="24"/>
      <c r="BY594" s="24"/>
      <c r="BZ594" s="24"/>
      <c r="CA594" s="24"/>
      <c r="CB594" s="24"/>
      <c r="CC594" s="24"/>
      <c r="CD594" s="24"/>
      <c r="CE594" s="24"/>
      <c r="CF594" s="24"/>
      <c r="CG594" s="24"/>
      <c r="CH594" s="24"/>
      <c r="CI594" s="24"/>
      <c r="CJ594" s="24"/>
      <c r="CK594" s="24"/>
      <c r="CL594" s="24"/>
      <c r="CM594" s="24"/>
      <c r="CN594" s="24"/>
      <c r="CO594" s="24"/>
      <c r="CP594" s="24"/>
      <c r="CQ594" s="24"/>
      <c r="CR594" s="24"/>
      <c r="CS594" s="24"/>
      <c r="CT594" s="24"/>
      <c r="CU594" s="24"/>
    </row>
    <row r="595">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c r="CM595" s="24"/>
      <c r="CN595" s="24"/>
      <c r="CO595" s="24"/>
      <c r="CP595" s="24"/>
      <c r="CQ595" s="24"/>
      <c r="CR595" s="24"/>
      <c r="CS595" s="24"/>
      <c r="CT595" s="24"/>
      <c r="CU595" s="24"/>
    </row>
    <row r="596">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c r="BQ596" s="24"/>
      <c r="BR596" s="24"/>
      <c r="BS596" s="24"/>
      <c r="BT596" s="24"/>
      <c r="BU596" s="24"/>
      <c r="BV596" s="24"/>
      <c r="BW596" s="24"/>
      <c r="BX596" s="24"/>
      <c r="BY596" s="24"/>
      <c r="BZ596" s="24"/>
      <c r="CA596" s="24"/>
      <c r="CB596" s="24"/>
      <c r="CC596" s="24"/>
      <c r="CD596" s="24"/>
      <c r="CE596" s="24"/>
      <c r="CF596" s="24"/>
      <c r="CG596" s="24"/>
      <c r="CH596" s="24"/>
      <c r="CI596" s="24"/>
      <c r="CJ596" s="24"/>
      <c r="CK596" s="24"/>
      <c r="CL596" s="24"/>
      <c r="CM596" s="24"/>
      <c r="CN596" s="24"/>
      <c r="CO596" s="24"/>
      <c r="CP596" s="24"/>
      <c r="CQ596" s="24"/>
      <c r="CR596" s="24"/>
      <c r="CS596" s="24"/>
      <c r="CT596" s="24"/>
      <c r="CU596" s="24"/>
    </row>
    <row r="597">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c r="BT597" s="24"/>
      <c r="BU597" s="24"/>
      <c r="BV597" s="24"/>
      <c r="BW597" s="24"/>
      <c r="BX597" s="24"/>
      <c r="BY597" s="24"/>
      <c r="BZ597" s="24"/>
      <c r="CA597" s="24"/>
      <c r="CB597" s="24"/>
      <c r="CC597" s="24"/>
      <c r="CD597" s="24"/>
      <c r="CE597" s="24"/>
      <c r="CF597" s="24"/>
      <c r="CG597" s="24"/>
      <c r="CH597" s="24"/>
      <c r="CI597" s="24"/>
      <c r="CJ597" s="24"/>
      <c r="CK597" s="24"/>
      <c r="CL597" s="24"/>
      <c r="CM597" s="24"/>
      <c r="CN597" s="24"/>
      <c r="CO597" s="24"/>
      <c r="CP597" s="24"/>
      <c r="CQ597" s="24"/>
      <c r="CR597" s="24"/>
      <c r="CS597" s="24"/>
      <c r="CT597" s="24"/>
      <c r="CU597" s="24"/>
    </row>
    <row r="598">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c r="BR598" s="24"/>
      <c r="BS598" s="24"/>
      <c r="BT598" s="24"/>
      <c r="BU598" s="24"/>
      <c r="BV598" s="24"/>
      <c r="BW598" s="24"/>
      <c r="BX598" s="24"/>
      <c r="BY598" s="24"/>
      <c r="BZ598" s="24"/>
      <c r="CA598" s="24"/>
      <c r="CB598" s="24"/>
      <c r="CC598" s="24"/>
      <c r="CD598" s="24"/>
      <c r="CE598" s="24"/>
      <c r="CF598" s="24"/>
      <c r="CG598" s="24"/>
      <c r="CH598" s="24"/>
      <c r="CI598" s="24"/>
      <c r="CJ598" s="24"/>
      <c r="CK598" s="24"/>
      <c r="CL598" s="24"/>
      <c r="CM598" s="24"/>
      <c r="CN598" s="24"/>
      <c r="CO598" s="24"/>
      <c r="CP598" s="24"/>
      <c r="CQ598" s="24"/>
      <c r="CR598" s="24"/>
      <c r="CS598" s="24"/>
      <c r="CT598" s="24"/>
      <c r="CU598" s="24"/>
    </row>
    <row r="599">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c r="CM599" s="24"/>
      <c r="CN599" s="24"/>
      <c r="CO599" s="24"/>
      <c r="CP599" s="24"/>
      <c r="CQ599" s="24"/>
      <c r="CR599" s="24"/>
      <c r="CS599" s="24"/>
      <c r="CT599" s="24"/>
      <c r="CU599" s="24"/>
    </row>
    <row r="600">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c r="BQ600" s="24"/>
      <c r="BR600" s="24"/>
      <c r="BS600" s="24"/>
      <c r="BT600" s="24"/>
      <c r="BU600" s="24"/>
      <c r="BV600" s="24"/>
      <c r="BW600" s="24"/>
      <c r="BX600" s="24"/>
      <c r="BY600" s="24"/>
      <c r="BZ600" s="24"/>
      <c r="CA600" s="24"/>
      <c r="CB600" s="24"/>
      <c r="CC600" s="24"/>
      <c r="CD600" s="24"/>
      <c r="CE600" s="24"/>
      <c r="CF600" s="24"/>
      <c r="CG600" s="24"/>
      <c r="CH600" s="24"/>
      <c r="CI600" s="24"/>
      <c r="CJ600" s="24"/>
      <c r="CK600" s="24"/>
      <c r="CL600" s="24"/>
      <c r="CM600" s="24"/>
      <c r="CN600" s="24"/>
      <c r="CO600" s="24"/>
      <c r="CP600" s="24"/>
      <c r="CQ600" s="24"/>
      <c r="CR600" s="24"/>
      <c r="CS600" s="24"/>
      <c r="CT600" s="24"/>
      <c r="CU600" s="24"/>
    </row>
    <row r="601">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c r="BT601" s="24"/>
      <c r="BU601" s="24"/>
      <c r="BV601" s="24"/>
      <c r="BW601" s="24"/>
      <c r="BX601" s="24"/>
      <c r="BY601" s="24"/>
      <c r="BZ601" s="24"/>
      <c r="CA601" s="24"/>
      <c r="CB601" s="24"/>
      <c r="CC601" s="24"/>
      <c r="CD601" s="24"/>
      <c r="CE601" s="24"/>
      <c r="CF601" s="24"/>
      <c r="CG601" s="24"/>
      <c r="CH601" s="24"/>
      <c r="CI601" s="24"/>
      <c r="CJ601" s="24"/>
      <c r="CK601" s="24"/>
      <c r="CL601" s="24"/>
      <c r="CM601" s="24"/>
      <c r="CN601" s="24"/>
      <c r="CO601" s="24"/>
      <c r="CP601" s="24"/>
      <c r="CQ601" s="24"/>
      <c r="CR601" s="24"/>
      <c r="CS601" s="24"/>
      <c r="CT601" s="24"/>
      <c r="CU601" s="24"/>
    </row>
    <row r="602">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24"/>
      <c r="BR602" s="24"/>
      <c r="BS602" s="24"/>
      <c r="BT602" s="24"/>
      <c r="BU602" s="24"/>
      <c r="BV602" s="24"/>
      <c r="BW602" s="24"/>
      <c r="BX602" s="24"/>
      <c r="BY602" s="24"/>
      <c r="BZ602" s="24"/>
      <c r="CA602" s="24"/>
      <c r="CB602" s="24"/>
      <c r="CC602" s="24"/>
      <c r="CD602" s="24"/>
      <c r="CE602" s="24"/>
      <c r="CF602" s="24"/>
      <c r="CG602" s="24"/>
      <c r="CH602" s="24"/>
      <c r="CI602" s="24"/>
      <c r="CJ602" s="24"/>
      <c r="CK602" s="24"/>
      <c r="CL602" s="24"/>
      <c r="CM602" s="24"/>
      <c r="CN602" s="24"/>
      <c r="CO602" s="24"/>
      <c r="CP602" s="24"/>
      <c r="CQ602" s="24"/>
      <c r="CR602" s="24"/>
      <c r="CS602" s="24"/>
      <c r="CT602" s="24"/>
      <c r="CU602" s="24"/>
    </row>
    <row r="603">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c r="CM603" s="24"/>
      <c r="CN603" s="24"/>
      <c r="CO603" s="24"/>
      <c r="CP603" s="24"/>
      <c r="CQ603" s="24"/>
      <c r="CR603" s="24"/>
      <c r="CS603" s="24"/>
      <c r="CT603" s="24"/>
      <c r="CU603" s="24"/>
    </row>
    <row r="60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c r="BQ604" s="24"/>
      <c r="BR604" s="24"/>
      <c r="BS604" s="24"/>
      <c r="BT604" s="24"/>
      <c r="BU604" s="24"/>
      <c r="BV604" s="24"/>
      <c r="BW604" s="24"/>
      <c r="BX604" s="24"/>
      <c r="BY604" s="24"/>
      <c r="BZ604" s="24"/>
      <c r="CA604" s="24"/>
      <c r="CB604" s="24"/>
      <c r="CC604" s="24"/>
      <c r="CD604" s="24"/>
      <c r="CE604" s="24"/>
      <c r="CF604" s="24"/>
      <c r="CG604" s="24"/>
      <c r="CH604" s="24"/>
      <c r="CI604" s="24"/>
      <c r="CJ604" s="24"/>
      <c r="CK604" s="24"/>
      <c r="CL604" s="24"/>
      <c r="CM604" s="24"/>
      <c r="CN604" s="24"/>
      <c r="CO604" s="24"/>
      <c r="CP604" s="24"/>
      <c r="CQ604" s="24"/>
      <c r="CR604" s="24"/>
      <c r="CS604" s="24"/>
      <c r="CT604" s="24"/>
      <c r="CU604" s="24"/>
    </row>
    <row r="605">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c r="BT605" s="24"/>
      <c r="BU605" s="24"/>
      <c r="BV605" s="24"/>
      <c r="BW605" s="24"/>
      <c r="BX605" s="24"/>
      <c r="BY605" s="24"/>
      <c r="BZ605" s="24"/>
      <c r="CA605" s="24"/>
      <c r="CB605" s="24"/>
      <c r="CC605" s="24"/>
      <c r="CD605" s="24"/>
      <c r="CE605" s="24"/>
      <c r="CF605" s="24"/>
      <c r="CG605" s="24"/>
      <c r="CH605" s="24"/>
      <c r="CI605" s="24"/>
      <c r="CJ605" s="24"/>
      <c r="CK605" s="24"/>
      <c r="CL605" s="24"/>
      <c r="CM605" s="24"/>
      <c r="CN605" s="24"/>
      <c r="CO605" s="24"/>
      <c r="CP605" s="24"/>
      <c r="CQ605" s="24"/>
      <c r="CR605" s="24"/>
      <c r="CS605" s="24"/>
      <c r="CT605" s="24"/>
      <c r="CU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c r="BR606" s="24"/>
      <c r="BS606" s="24"/>
      <c r="BT606" s="24"/>
      <c r="BU606" s="24"/>
      <c r="BV606" s="24"/>
      <c r="BW606" s="24"/>
      <c r="BX606" s="24"/>
      <c r="BY606" s="24"/>
      <c r="BZ606" s="24"/>
      <c r="CA606" s="24"/>
      <c r="CB606" s="24"/>
      <c r="CC606" s="24"/>
      <c r="CD606" s="24"/>
      <c r="CE606" s="24"/>
      <c r="CF606" s="24"/>
      <c r="CG606" s="24"/>
      <c r="CH606" s="24"/>
      <c r="CI606" s="24"/>
      <c r="CJ606" s="24"/>
      <c r="CK606" s="24"/>
      <c r="CL606" s="24"/>
      <c r="CM606" s="24"/>
      <c r="CN606" s="24"/>
      <c r="CO606" s="24"/>
      <c r="CP606" s="24"/>
      <c r="CQ606" s="24"/>
      <c r="CR606" s="24"/>
      <c r="CS606" s="24"/>
      <c r="CT606" s="24"/>
      <c r="CU606" s="24"/>
    </row>
    <row r="607">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c r="BT607" s="24"/>
      <c r="BU607" s="24"/>
      <c r="BV607" s="24"/>
      <c r="BW607" s="24"/>
      <c r="BX607" s="24"/>
      <c r="BY607" s="24"/>
      <c r="BZ607" s="24"/>
      <c r="CA607" s="24"/>
      <c r="CB607" s="24"/>
      <c r="CC607" s="24"/>
      <c r="CD607" s="24"/>
      <c r="CE607" s="24"/>
      <c r="CF607" s="24"/>
      <c r="CG607" s="24"/>
      <c r="CH607" s="24"/>
      <c r="CI607" s="24"/>
      <c r="CJ607" s="24"/>
      <c r="CK607" s="24"/>
      <c r="CL607" s="24"/>
      <c r="CM607" s="24"/>
      <c r="CN607" s="24"/>
      <c r="CO607" s="24"/>
      <c r="CP607" s="24"/>
      <c r="CQ607" s="24"/>
      <c r="CR607" s="24"/>
      <c r="CS607" s="24"/>
      <c r="CT607" s="24"/>
      <c r="CU607" s="24"/>
    </row>
    <row r="608">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c r="BQ608" s="24"/>
      <c r="BR608" s="24"/>
      <c r="BS608" s="24"/>
      <c r="BT608" s="24"/>
      <c r="BU608" s="24"/>
      <c r="BV608" s="24"/>
      <c r="BW608" s="24"/>
      <c r="BX608" s="24"/>
      <c r="BY608" s="24"/>
      <c r="BZ608" s="24"/>
      <c r="CA608" s="24"/>
      <c r="CB608" s="24"/>
      <c r="CC608" s="24"/>
      <c r="CD608" s="24"/>
      <c r="CE608" s="24"/>
      <c r="CF608" s="24"/>
      <c r="CG608" s="24"/>
      <c r="CH608" s="24"/>
      <c r="CI608" s="24"/>
      <c r="CJ608" s="24"/>
      <c r="CK608" s="24"/>
      <c r="CL608" s="24"/>
      <c r="CM608" s="24"/>
      <c r="CN608" s="24"/>
      <c r="CO608" s="24"/>
      <c r="CP608" s="24"/>
      <c r="CQ608" s="24"/>
      <c r="CR608" s="24"/>
      <c r="CS608" s="24"/>
      <c r="CT608" s="24"/>
      <c r="CU608" s="24"/>
    </row>
    <row r="609">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c r="BT609" s="24"/>
      <c r="BU609" s="24"/>
      <c r="BV609" s="24"/>
      <c r="BW609" s="24"/>
      <c r="BX609" s="24"/>
      <c r="BY609" s="24"/>
      <c r="BZ609" s="24"/>
      <c r="CA609" s="24"/>
      <c r="CB609" s="24"/>
      <c r="CC609" s="24"/>
      <c r="CD609" s="24"/>
      <c r="CE609" s="24"/>
      <c r="CF609" s="24"/>
      <c r="CG609" s="24"/>
      <c r="CH609" s="24"/>
      <c r="CI609" s="24"/>
      <c r="CJ609" s="24"/>
      <c r="CK609" s="24"/>
      <c r="CL609" s="24"/>
      <c r="CM609" s="24"/>
      <c r="CN609" s="24"/>
      <c r="CO609" s="24"/>
      <c r="CP609" s="24"/>
      <c r="CQ609" s="24"/>
      <c r="CR609" s="24"/>
      <c r="CS609" s="24"/>
      <c r="CT609" s="24"/>
      <c r="CU609" s="24"/>
    </row>
    <row r="610">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c r="BQ610" s="24"/>
      <c r="BR610" s="24"/>
      <c r="BS610" s="24"/>
      <c r="BT610" s="24"/>
      <c r="BU610" s="24"/>
      <c r="BV610" s="24"/>
      <c r="BW610" s="24"/>
      <c r="BX610" s="24"/>
      <c r="BY610" s="24"/>
      <c r="BZ610" s="24"/>
      <c r="CA610" s="24"/>
      <c r="CB610" s="24"/>
      <c r="CC610" s="24"/>
      <c r="CD610" s="24"/>
      <c r="CE610" s="24"/>
      <c r="CF610" s="24"/>
      <c r="CG610" s="24"/>
      <c r="CH610" s="24"/>
      <c r="CI610" s="24"/>
      <c r="CJ610" s="24"/>
      <c r="CK610" s="24"/>
      <c r="CL610" s="24"/>
      <c r="CM610" s="24"/>
      <c r="CN610" s="24"/>
      <c r="CO610" s="24"/>
      <c r="CP610" s="24"/>
      <c r="CQ610" s="24"/>
      <c r="CR610" s="24"/>
      <c r="CS610" s="24"/>
      <c r="CT610" s="24"/>
      <c r="CU610" s="24"/>
    </row>
    <row r="611">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c r="CM611" s="24"/>
      <c r="CN611" s="24"/>
      <c r="CO611" s="24"/>
      <c r="CP611" s="24"/>
      <c r="CQ611" s="24"/>
      <c r="CR611" s="24"/>
      <c r="CS611" s="24"/>
      <c r="CT611" s="24"/>
      <c r="CU611" s="24"/>
    </row>
    <row r="612">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c r="BR612" s="24"/>
      <c r="BS612" s="24"/>
      <c r="BT612" s="24"/>
      <c r="BU612" s="24"/>
      <c r="BV612" s="24"/>
      <c r="BW612" s="24"/>
      <c r="BX612" s="24"/>
      <c r="BY612" s="24"/>
      <c r="BZ612" s="24"/>
      <c r="CA612" s="24"/>
      <c r="CB612" s="24"/>
      <c r="CC612" s="24"/>
      <c r="CD612" s="24"/>
      <c r="CE612" s="24"/>
      <c r="CF612" s="24"/>
      <c r="CG612" s="24"/>
      <c r="CH612" s="24"/>
      <c r="CI612" s="24"/>
      <c r="CJ612" s="24"/>
      <c r="CK612" s="24"/>
      <c r="CL612" s="24"/>
      <c r="CM612" s="24"/>
      <c r="CN612" s="24"/>
      <c r="CO612" s="24"/>
      <c r="CP612" s="24"/>
      <c r="CQ612" s="24"/>
      <c r="CR612" s="24"/>
      <c r="CS612" s="24"/>
      <c r="CT612" s="24"/>
      <c r="CU612" s="24"/>
    </row>
    <row r="613">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c r="CR613" s="24"/>
      <c r="CS613" s="24"/>
      <c r="CT613" s="24"/>
      <c r="CU613" s="24"/>
    </row>
    <row r="61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c r="BR614" s="24"/>
      <c r="BS614" s="24"/>
      <c r="BT614" s="24"/>
      <c r="BU614" s="24"/>
      <c r="BV614" s="24"/>
      <c r="BW614" s="24"/>
      <c r="BX614" s="24"/>
      <c r="BY614" s="24"/>
      <c r="BZ614" s="24"/>
      <c r="CA614" s="24"/>
      <c r="CB614" s="24"/>
      <c r="CC614" s="24"/>
      <c r="CD614" s="24"/>
      <c r="CE614" s="24"/>
      <c r="CF614" s="24"/>
      <c r="CG614" s="24"/>
      <c r="CH614" s="24"/>
      <c r="CI614" s="24"/>
      <c r="CJ614" s="24"/>
      <c r="CK614" s="24"/>
      <c r="CL614" s="24"/>
      <c r="CM614" s="24"/>
      <c r="CN614" s="24"/>
      <c r="CO614" s="24"/>
      <c r="CP614" s="24"/>
      <c r="CQ614" s="24"/>
      <c r="CR614" s="24"/>
      <c r="CS614" s="24"/>
      <c r="CT614" s="24"/>
      <c r="CU614" s="24"/>
    </row>
    <row r="615">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c r="CR615" s="24"/>
      <c r="CS615" s="24"/>
      <c r="CT615" s="24"/>
      <c r="CU615" s="24"/>
    </row>
    <row r="616">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c r="BR616" s="24"/>
      <c r="BS616" s="24"/>
      <c r="BT616" s="24"/>
      <c r="BU616" s="24"/>
      <c r="BV616" s="24"/>
      <c r="BW616" s="24"/>
      <c r="BX616" s="24"/>
      <c r="BY616" s="24"/>
      <c r="BZ616" s="24"/>
      <c r="CA616" s="24"/>
      <c r="CB616" s="24"/>
      <c r="CC616" s="24"/>
      <c r="CD616" s="24"/>
      <c r="CE616" s="24"/>
      <c r="CF616" s="24"/>
      <c r="CG616" s="24"/>
      <c r="CH616" s="24"/>
      <c r="CI616" s="24"/>
      <c r="CJ616" s="24"/>
      <c r="CK616" s="24"/>
      <c r="CL616" s="24"/>
      <c r="CM616" s="24"/>
      <c r="CN616" s="24"/>
      <c r="CO616" s="24"/>
      <c r="CP616" s="24"/>
      <c r="CQ616" s="24"/>
      <c r="CR616" s="24"/>
      <c r="CS616" s="24"/>
      <c r="CT616" s="24"/>
      <c r="CU616" s="24"/>
    </row>
    <row r="617">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c r="CM617" s="24"/>
      <c r="CN617" s="24"/>
      <c r="CO617" s="24"/>
      <c r="CP617" s="24"/>
      <c r="CQ617" s="24"/>
      <c r="CR617" s="24"/>
      <c r="CS617" s="24"/>
      <c r="CT617" s="24"/>
      <c r="CU617" s="24"/>
    </row>
    <row r="618">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c r="BR618" s="24"/>
      <c r="BS618" s="24"/>
      <c r="BT618" s="24"/>
      <c r="BU618" s="24"/>
      <c r="BV618" s="24"/>
      <c r="BW618" s="24"/>
      <c r="BX618" s="24"/>
      <c r="BY618" s="24"/>
      <c r="BZ618" s="24"/>
      <c r="CA618" s="24"/>
      <c r="CB618" s="24"/>
      <c r="CC618" s="24"/>
      <c r="CD618" s="24"/>
      <c r="CE618" s="24"/>
      <c r="CF618" s="24"/>
      <c r="CG618" s="24"/>
      <c r="CH618" s="24"/>
      <c r="CI618" s="24"/>
      <c r="CJ618" s="24"/>
      <c r="CK618" s="24"/>
      <c r="CL618" s="24"/>
      <c r="CM618" s="24"/>
      <c r="CN618" s="24"/>
      <c r="CO618" s="24"/>
      <c r="CP618" s="24"/>
      <c r="CQ618" s="24"/>
      <c r="CR618" s="24"/>
      <c r="CS618" s="24"/>
      <c r="CT618" s="24"/>
      <c r="CU618" s="24"/>
    </row>
    <row r="619">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c r="CM619" s="24"/>
      <c r="CN619" s="24"/>
      <c r="CO619" s="24"/>
      <c r="CP619" s="24"/>
      <c r="CQ619" s="24"/>
      <c r="CR619" s="24"/>
      <c r="CS619" s="24"/>
      <c r="CT619" s="24"/>
      <c r="CU619" s="24"/>
    </row>
    <row r="620">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c r="BQ620" s="24"/>
      <c r="BR620" s="24"/>
      <c r="BS620" s="24"/>
      <c r="BT620" s="24"/>
      <c r="BU620" s="24"/>
      <c r="BV620" s="24"/>
      <c r="BW620" s="24"/>
      <c r="BX620" s="24"/>
      <c r="BY620" s="24"/>
      <c r="BZ620" s="24"/>
      <c r="CA620" s="24"/>
      <c r="CB620" s="24"/>
      <c r="CC620" s="24"/>
      <c r="CD620" s="24"/>
      <c r="CE620" s="24"/>
      <c r="CF620" s="24"/>
      <c r="CG620" s="24"/>
      <c r="CH620" s="24"/>
      <c r="CI620" s="24"/>
      <c r="CJ620" s="24"/>
      <c r="CK620" s="24"/>
      <c r="CL620" s="24"/>
      <c r="CM620" s="24"/>
      <c r="CN620" s="24"/>
      <c r="CO620" s="24"/>
      <c r="CP620" s="24"/>
      <c r="CQ620" s="24"/>
      <c r="CR620" s="24"/>
      <c r="CS620" s="24"/>
      <c r="CT620" s="24"/>
      <c r="CU620" s="24"/>
    </row>
    <row r="621">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c r="BT621" s="24"/>
      <c r="BU621" s="24"/>
      <c r="BV621" s="24"/>
      <c r="BW621" s="24"/>
      <c r="BX621" s="24"/>
      <c r="BY621" s="24"/>
      <c r="BZ621" s="24"/>
      <c r="CA621" s="24"/>
      <c r="CB621" s="24"/>
      <c r="CC621" s="24"/>
      <c r="CD621" s="24"/>
      <c r="CE621" s="24"/>
      <c r="CF621" s="24"/>
      <c r="CG621" s="24"/>
      <c r="CH621" s="24"/>
      <c r="CI621" s="24"/>
      <c r="CJ621" s="24"/>
      <c r="CK621" s="24"/>
      <c r="CL621" s="24"/>
      <c r="CM621" s="24"/>
      <c r="CN621" s="24"/>
      <c r="CO621" s="24"/>
      <c r="CP621" s="24"/>
      <c r="CQ621" s="24"/>
      <c r="CR621" s="24"/>
      <c r="CS621" s="24"/>
      <c r="CT621" s="24"/>
      <c r="CU621" s="24"/>
    </row>
    <row r="622">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c r="BQ622" s="24"/>
      <c r="BR622" s="24"/>
      <c r="BS622" s="24"/>
      <c r="BT622" s="24"/>
      <c r="BU622" s="24"/>
      <c r="BV622" s="24"/>
      <c r="BW622" s="24"/>
      <c r="BX622" s="24"/>
      <c r="BY622" s="24"/>
      <c r="BZ622" s="24"/>
      <c r="CA622" s="24"/>
      <c r="CB622" s="24"/>
      <c r="CC622" s="24"/>
      <c r="CD622" s="24"/>
      <c r="CE622" s="24"/>
      <c r="CF622" s="24"/>
      <c r="CG622" s="24"/>
      <c r="CH622" s="24"/>
      <c r="CI622" s="24"/>
      <c r="CJ622" s="24"/>
      <c r="CK622" s="24"/>
      <c r="CL622" s="24"/>
      <c r="CM622" s="24"/>
      <c r="CN622" s="24"/>
      <c r="CO622" s="24"/>
      <c r="CP622" s="24"/>
      <c r="CQ622" s="24"/>
      <c r="CR622" s="24"/>
      <c r="CS622" s="24"/>
      <c r="CT622" s="24"/>
      <c r="CU622" s="24"/>
    </row>
    <row r="623">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c r="CR623" s="24"/>
      <c r="CS623" s="24"/>
      <c r="CT623" s="24"/>
      <c r="CU623" s="24"/>
    </row>
    <row r="6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c r="BR624" s="24"/>
      <c r="BS624" s="24"/>
      <c r="BT624" s="24"/>
      <c r="BU624" s="24"/>
      <c r="BV624" s="24"/>
      <c r="BW624" s="24"/>
      <c r="BX624" s="24"/>
      <c r="BY624" s="24"/>
      <c r="BZ624" s="24"/>
      <c r="CA624" s="24"/>
      <c r="CB624" s="24"/>
      <c r="CC624" s="24"/>
      <c r="CD624" s="24"/>
      <c r="CE624" s="24"/>
      <c r="CF624" s="24"/>
      <c r="CG624" s="24"/>
      <c r="CH624" s="24"/>
      <c r="CI624" s="24"/>
      <c r="CJ624" s="24"/>
      <c r="CK624" s="24"/>
      <c r="CL624" s="24"/>
      <c r="CM624" s="24"/>
      <c r="CN624" s="24"/>
      <c r="CO624" s="24"/>
      <c r="CP624" s="24"/>
      <c r="CQ624" s="24"/>
      <c r="CR624" s="24"/>
      <c r="CS624" s="24"/>
      <c r="CT624" s="24"/>
      <c r="CU624" s="24"/>
    </row>
    <row r="625">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s="24"/>
      <c r="CS625" s="24"/>
      <c r="CT625" s="24"/>
      <c r="CU625" s="24"/>
    </row>
    <row r="626">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c r="BT626" s="24"/>
      <c r="BU626" s="24"/>
      <c r="BV626" s="24"/>
      <c r="BW626" s="24"/>
      <c r="BX626" s="24"/>
      <c r="BY626" s="24"/>
      <c r="BZ626" s="24"/>
      <c r="CA626" s="24"/>
      <c r="CB626" s="24"/>
      <c r="CC626" s="24"/>
      <c r="CD626" s="24"/>
      <c r="CE626" s="24"/>
      <c r="CF626" s="24"/>
      <c r="CG626" s="24"/>
      <c r="CH626" s="24"/>
      <c r="CI626" s="24"/>
      <c r="CJ626" s="24"/>
      <c r="CK626" s="24"/>
      <c r="CL626" s="24"/>
      <c r="CM626" s="24"/>
      <c r="CN626" s="24"/>
      <c r="CO626" s="24"/>
      <c r="CP626" s="24"/>
      <c r="CQ626" s="24"/>
      <c r="CR626" s="24"/>
      <c r="CS626" s="24"/>
      <c r="CT626" s="24"/>
      <c r="CU626" s="24"/>
    </row>
    <row r="627">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c r="CR627" s="24"/>
      <c r="CS627" s="24"/>
      <c r="CT627" s="24"/>
      <c r="CU627" s="24"/>
    </row>
    <row r="628">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c r="BR628" s="24"/>
      <c r="BS628" s="24"/>
      <c r="BT628" s="24"/>
      <c r="BU628" s="24"/>
      <c r="BV628" s="24"/>
      <c r="BW628" s="24"/>
      <c r="BX628" s="24"/>
      <c r="BY628" s="24"/>
      <c r="BZ628" s="24"/>
      <c r="CA628" s="24"/>
      <c r="CB628" s="24"/>
      <c r="CC628" s="24"/>
      <c r="CD628" s="24"/>
      <c r="CE628" s="24"/>
      <c r="CF628" s="24"/>
      <c r="CG628" s="24"/>
      <c r="CH628" s="24"/>
      <c r="CI628" s="24"/>
      <c r="CJ628" s="24"/>
      <c r="CK628" s="24"/>
      <c r="CL628" s="24"/>
      <c r="CM628" s="24"/>
      <c r="CN628" s="24"/>
      <c r="CO628" s="24"/>
      <c r="CP628" s="24"/>
      <c r="CQ628" s="24"/>
      <c r="CR628" s="24"/>
      <c r="CS628" s="24"/>
      <c r="CT628" s="24"/>
      <c r="CU628" s="24"/>
    </row>
    <row r="629">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c r="CR629" s="24"/>
      <c r="CS629" s="24"/>
      <c r="CT629" s="24"/>
      <c r="CU629" s="24"/>
    </row>
    <row r="630">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c r="BQ630" s="24"/>
      <c r="BR630" s="24"/>
      <c r="BS630" s="24"/>
      <c r="BT630" s="24"/>
      <c r="BU630" s="24"/>
      <c r="BV630" s="24"/>
      <c r="BW630" s="24"/>
      <c r="BX630" s="24"/>
      <c r="BY630" s="24"/>
      <c r="BZ630" s="24"/>
      <c r="CA630" s="24"/>
      <c r="CB630" s="24"/>
      <c r="CC630" s="24"/>
      <c r="CD630" s="24"/>
      <c r="CE630" s="24"/>
      <c r="CF630" s="24"/>
      <c r="CG630" s="24"/>
      <c r="CH630" s="24"/>
      <c r="CI630" s="24"/>
      <c r="CJ630" s="24"/>
      <c r="CK630" s="24"/>
      <c r="CL630" s="24"/>
      <c r="CM630" s="24"/>
      <c r="CN630" s="24"/>
      <c r="CO630" s="24"/>
      <c r="CP630" s="24"/>
      <c r="CQ630" s="24"/>
      <c r="CR630" s="24"/>
      <c r="CS630" s="24"/>
      <c r="CT630" s="24"/>
      <c r="CU630" s="24"/>
    </row>
    <row r="631">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c r="CM631" s="24"/>
      <c r="CN631" s="24"/>
      <c r="CO631" s="24"/>
      <c r="CP631" s="24"/>
      <c r="CQ631" s="24"/>
      <c r="CR631" s="24"/>
      <c r="CS631" s="24"/>
      <c r="CT631" s="24"/>
      <c r="CU631" s="24"/>
    </row>
    <row r="632">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c r="BR632" s="24"/>
      <c r="BS632" s="24"/>
      <c r="BT632" s="24"/>
      <c r="BU632" s="24"/>
      <c r="BV632" s="24"/>
      <c r="BW632" s="24"/>
      <c r="BX632" s="24"/>
      <c r="BY632" s="24"/>
      <c r="BZ632" s="24"/>
      <c r="CA632" s="24"/>
      <c r="CB632" s="24"/>
      <c r="CC632" s="24"/>
      <c r="CD632" s="24"/>
      <c r="CE632" s="24"/>
      <c r="CF632" s="24"/>
      <c r="CG632" s="24"/>
      <c r="CH632" s="24"/>
      <c r="CI632" s="24"/>
      <c r="CJ632" s="24"/>
      <c r="CK632" s="24"/>
      <c r="CL632" s="24"/>
      <c r="CM632" s="24"/>
      <c r="CN632" s="24"/>
      <c r="CO632" s="24"/>
      <c r="CP632" s="24"/>
      <c r="CQ632" s="24"/>
      <c r="CR632" s="24"/>
      <c r="CS632" s="24"/>
      <c r="CT632" s="24"/>
      <c r="CU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c r="CR633" s="24"/>
      <c r="CS633" s="24"/>
      <c r="CT633" s="24"/>
      <c r="CU633" s="24"/>
    </row>
    <row r="63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c r="BR634" s="24"/>
      <c r="BS634" s="24"/>
      <c r="BT634" s="24"/>
      <c r="BU634" s="24"/>
      <c r="BV634" s="24"/>
      <c r="BW634" s="24"/>
      <c r="BX634" s="24"/>
      <c r="BY634" s="24"/>
      <c r="BZ634" s="24"/>
      <c r="CA634" s="24"/>
      <c r="CB634" s="24"/>
      <c r="CC634" s="24"/>
      <c r="CD634" s="24"/>
      <c r="CE634" s="24"/>
      <c r="CF634" s="24"/>
      <c r="CG634" s="24"/>
      <c r="CH634" s="24"/>
      <c r="CI634" s="24"/>
      <c r="CJ634" s="24"/>
      <c r="CK634" s="24"/>
      <c r="CL634" s="24"/>
      <c r="CM634" s="24"/>
      <c r="CN634" s="24"/>
      <c r="CO634" s="24"/>
      <c r="CP634" s="24"/>
      <c r="CQ634" s="24"/>
      <c r="CR634" s="24"/>
      <c r="CS634" s="24"/>
      <c r="CT634" s="24"/>
      <c r="CU634" s="24"/>
    </row>
    <row r="635">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c r="CR635" s="24"/>
      <c r="CS635" s="24"/>
      <c r="CT635" s="24"/>
      <c r="CU635" s="24"/>
    </row>
    <row r="636">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c r="BQ636" s="24"/>
      <c r="BR636" s="24"/>
      <c r="BS636" s="24"/>
      <c r="BT636" s="24"/>
      <c r="BU636" s="24"/>
      <c r="BV636" s="24"/>
      <c r="BW636" s="24"/>
      <c r="BX636" s="24"/>
      <c r="BY636" s="24"/>
      <c r="BZ636" s="24"/>
      <c r="CA636" s="24"/>
      <c r="CB636" s="24"/>
      <c r="CC636" s="24"/>
      <c r="CD636" s="24"/>
      <c r="CE636" s="24"/>
      <c r="CF636" s="24"/>
      <c r="CG636" s="24"/>
      <c r="CH636" s="24"/>
      <c r="CI636" s="24"/>
      <c r="CJ636" s="24"/>
      <c r="CK636" s="24"/>
      <c r="CL636" s="24"/>
      <c r="CM636" s="24"/>
      <c r="CN636" s="24"/>
      <c r="CO636" s="24"/>
      <c r="CP636" s="24"/>
      <c r="CQ636" s="24"/>
      <c r="CR636" s="24"/>
      <c r="CS636" s="24"/>
      <c r="CT636" s="24"/>
      <c r="CU636" s="24"/>
    </row>
    <row r="637">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c r="BT637" s="24"/>
      <c r="BU637" s="24"/>
      <c r="BV637" s="24"/>
      <c r="BW637" s="24"/>
      <c r="BX637" s="24"/>
      <c r="BY637" s="24"/>
      <c r="BZ637" s="24"/>
      <c r="CA637" s="24"/>
      <c r="CB637" s="24"/>
      <c r="CC637" s="24"/>
      <c r="CD637" s="24"/>
      <c r="CE637" s="24"/>
      <c r="CF637" s="24"/>
      <c r="CG637" s="24"/>
      <c r="CH637" s="24"/>
      <c r="CI637" s="24"/>
      <c r="CJ637" s="24"/>
      <c r="CK637" s="24"/>
      <c r="CL637" s="24"/>
      <c r="CM637" s="24"/>
      <c r="CN637" s="24"/>
      <c r="CO637" s="24"/>
      <c r="CP637" s="24"/>
      <c r="CQ637" s="24"/>
      <c r="CR637" s="24"/>
      <c r="CS637" s="24"/>
      <c r="CT637" s="24"/>
      <c r="CU637" s="24"/>
    </row>
    <row r="638">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c r="BQ638" s="24"/>
      <c r="BR638" s="24"/>
      <c r="BS638" s="24"/>
      <c r="BT638" s="24"/>
      <c r="BU638" s="24"/>
      <c r="BV638" s="24"/>
      <c r="BW638" s="24"/>
      <c r="BX638" s="24"/>
      <c r="BY638" s="24"/>
      <c r="BZ638" s="24"/>
      <c r="CA638" s="24"/>
      <c r="CB638" s="24"/>
      <c r="CC638" s="24"/>
      <c r="CD638" s="24"/>
      <c r="CE638" s="24"/>
      <c r="CF638" s="24"/>
      <c r="CG638" s="24"/>
      <c r="CH638" s="24"/>
      <c r="CI638" s="24"/>
      <c r="CJ638" s="24"/>
      <c r="CK638" s="24"/>
      <c r="CL638" s="24"/>
      <c r="CM638" s="24"/>
      <c r="CN638" s="24"/>
      <c r="CO638" s="24"/>
      <c r="CP638" s="24"/>
      <c r="CQ638" s="24"/>
      <c r="CR638" s="24"/>
      <c r="CS638" s="24"/>
      <c r="CT638" s="24"/>
      <c r="CU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c r="CM639" s="24"/>
      <c r="CN639" s="24"/>
      <c r="CO639" s="24"/>
      <c r="CP639" s="24"/>
      <c r="CQ639" s="24"/>
      <c r="CR639" s="24"/>
      <c r="CS639" s="24"/>
      <c r="CT639" s="24"/>
      <c r="CU639" s="24"/>
    </row>
    <row r="640">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c r="BQ640" s="24"/>
      <c r="BR640" s="24"/>
      <c r="BS640" s="24"/>
      <c r="BT640" s="24"/>
      <c r="BU640" s="24"/>
      <c r="BV640" s="24"/>
      <c r="BW640" s="24"/>
      <c r="BX640" s="24"/>
      <c r="BY640" s="24"/>
      <c r="BZ640" s="24"/>
      <c r="CA640" s="24"/>
      <c r="CB640" s="24"/>
      <c r="CC640" s="24"/>
      <c r="CD640" s="24"/>
      <c r="CE640" s="24"/>
      <c r="CF640" s="24"/>
      <c r="CG640" s="24"/>
      <c r="CH640" s="24"/>
      <c r="CI640" s="24"/>
      <c r="CJ640" s="24"/>
      <c r="CK640" s="24"/>
      <c r="CL640" s="24"/>
      <c r="CM640" s="24"/>
      <c r="CN640" s="24"/>
      <c r="CO640" s="24"/>
      <c r="CP640" s="24"/>
      <c r="CQ640" s="24"/>
      <c r="CR640" s="24"/>
      <c r="CS640" s="24"/>
      <c r="CT640" s="24"/>
      <c r="CU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c r="BT641" s="24"/>
      <c r="BU641" s="24"/>
      <c r="BV641" s="24"/>
      <c r="BW641" s="24"/>
      <c r="BX641" s="24"/>
      <c r="BY641" s="24"/>
      <c r="BZ641" s="24"/>
      <c r="CA641" s="24"/>
      <c r="CB641" s="24"/>
      <c r="CC641" s="24"/>
      <c r="CD641" s="24"/>
      <c r="CE641" s="24"/>
      <c r="CF641" s="24"/>
      <c r="CG641" s="24"/>
      <c r="CH641" s="24"/>
      <c r="CI641" s="24"/>
      <c r="CJ641" s="24"/>
      <c r="CK641" s="24"/>
      <c r="CL641" s="24"/>
      <c r="CM641" s="24"/>
      <c r="CN641" s="24"/>
      <c r="CO641" s="24"/>
      <c r="CP641" s="24"/>
      <c r="CQ641" s="24"/>
      <c r="CR641" s="24"/>
      <c r="CS641" s="24"/>
      <c r="CT641" s="24"/>
      <c r="CU641" s="24"/>
    </row>
    <row r="642">
      <c r="A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c r="BQ642" s="24"/>
      <c r="BR642" s="24"/>
      <c r="BS642" s="24"/>
      <c r="BT642" s="24"/>
      <c r="BU642" s="24"/>
      <c r="BV642" s="24"/>
      <c r="BW642" s="24"/>
      <c r="BX642" s="24"/>
      <c r="BY642" s="24"/>
      <c r="BZ642" s="24"/>
      <c r="CA642" s="24"/>
      <c r="CB642" s="24"/>
      <c r="CC642" s="24"/>
      <c r="CD642" s="24"/>
      <c r="CE642" s="24"/>
      <c r="CF642" s="24"/>
      <c r="CG642" s="24"/>
      <c r="CH642" s="24"/>
      <c r="CI642" s="24"/>
      <c r="CJ642" s="24"/>
      <c r="CK642" s="24"/>
      <c r="CL642" s="24"/>
      <c r="CM642" s="24"/>
      <c r="CN642" s="24"/>
      <c r="CO642" s="24"/>
      <c r="CP642" s="24"/>
      <c r="CQ642" s="24"/>
      <c r="CR642" s="24"/>
      <c r="CS642" s="24"/>
      <c r="CT642" s="24"/>
      <c r="CU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c r="CR643" s="24"/>
      <c r="CS643" s="24"/>
      <c r="CT643" s="24"/>
      <c r="CU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c r="BQ644" s="24"/>
      <c r="BR644" s="24"/>
      <c r="BS644" s="24"/>
      <c r="BT644" s="24"/>
      <c r="BU644" s="24"/>
      <c r="BV644" s="24"/>
      <c r="BW644" s="24"/>
      <c r="BX644" s="24"/>
      <c r="BY644" s="24"/>
      <c r="BZ644" s="24"/>
      <c r="CA644" s="24"/>
      <c r="CB644" s="24"/>
      <c r="CC644" s="24"/>
      <c r="CD644" s="24"/>
      <c r="CE644" s="24"/>
      <c r="CF644" s="24"/>
      <c r="CG644" s="24"/>
      <c r="CH644" s="24"/>
      <c r="CI644" s="24"/>
      <c r="CJ644" s="24"/>
      <c r="CK644" s="24"/>
      <c r="CL644" s="24"/>
      <c r="CM644" s="24"/>
      <c r="CN644" s="24"/>
      <c r="CO644" s="24"/>
      <c r="CP644" s="24"/>
      <c r="CQ644" s="24"/>
      <c r="CR644" s="24"/>
      <c r="CS644" s="24"/>
      <c r="CT644" s="24"/>
      <c r="CU644" s="24"/>
    </row>
    <row r="645">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c r="CR645" s="24"/>
      <c r="CS645" s="24"/>
      <c r="CT645" s="24"/>
      <c r="CU645" s="24"/>
    </row>
    <row r="646">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c r="BR646" s="24"/>
      <c r="BS646" s="24"/>
      <c r="BT646" s="24"/>
      <c r="BU646" s="24"/>
      <c r="BV646" s="24"/>
      <c r="BW646" s="24"/>
      <c r="BX646" s="24"/>
      <c r="BY646" s="24"/>
      <c r="BZ646" s="24"/>
      <c r="CA646" s="24"/>
      <c r="CB646" s="24"/>
      <c r="CC646" s="24"/>
      <c r="CD646" s="24"/>
      <c r="CE646" s="24"/>
      <c r="CF646" s="24"/>
      <c r="CG646" s="24"/>
      <c r="CH646" s="24"/>
      <c r="CI646" s="24"/>
      <c r="CJ646" s="24"/>
      <c r="CK646" s="24"/>
      <c r="CL646" s="24"/>
      <c r="CM646" s="24"/>
      <c r="CN646" s="24"/>
      <c r="CO646" s="24"/>
      <c r="CP646" s="24"/>
      <c r="CQ646" s="24"/>
      <c r="CR646" s="24"/>
      <c r="CS646" s="24"/>
      <c r="CT646" s="24"/>
      <c r="CU646" s="24"/>
    </row>
    <row r="647">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c r="CR647" s="24"/>
      <c r="CS647" s="24"/>
      <c r="CT647" s="24"/>
      <c r="CU647" s="24"/>
    </row>
    <row r="648">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c r="BR648" s="24"/>
      <c r="BS648" s="24"/>
      <c r="BT648" s="24"/>
      <c r="BU648" s="24"/>
      <c r="BV648" s="24"/>
      <c r="BW648" s="24"/>
      <c r="BX648" s="24"/>
      <c r="BY648" s="24"/>
      <c r="BZ648" s="24"/>
      <c r="CA648" s="24"/>
      <c r="CB648" s="24"/>
      <c r="CC648" s="24"/>
      <c r="CD648" s="24"/>
      <c r="CE648" s="24"/>
      <c r="CF648" s="24"/>
      <c r="CG648" s="24"/>
      <c r="CH648" s="24"/>
      <c r="CI648" s="24"/>
      <c r="CJ648" s="24"/>
      <c r="CK648" s="24"/>
      <c r="CL648" s="24"/>
      <c r="CM648" s="24"/>
      <c r="CN648" s="24"/>
      <c r="CO648" s="24"/>
      <c r="CP648" s="24"/>
      <c r="CQ648" s="24"/>
      <c r="CR648" s="24"/>
      <c r="CS648" s="24"/>
      <c r="CT648" s="24"/>
      <c r="CU648" s="24"/>
    </row>
    <row r="649">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c r="CM649" s="24"/>
      <c r="CN649" s="24"/>
      <c r="CO649" s="24"/>
      <c r="CP649" s="24"/>
      <c r="CQ649" s="24"/>
      <c r="CR649" s="24"/>
      <c r="CS649" s="24"/>
      <c r="CT649" s="24"/>
      <c r="CU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c r="BR650" s="24"/>
      <c r="BS650" s="24"/>
      <c r="BT650" s="24"/>
      <c r="BU650" s="24"/>
      <c r="BV650" s="24"/>
      <c r="BW650" s="24"/>
      <c r="BX650" s="24"/>
      <c r="BY650" s="24"/>
      <c r="BZ650" s="24"/>
      <c r="CA650" s="24"/>
      <c r="CB650" s="24"/>
      <c r="CC650" s="24"/>
      <c r="CD650" s="24"/>
      <c r="CE650" s="24"/>
      <c r="CF650" s="24"/>
      <c r="CG650" s="24"/>
      <c r="CH650" s="24"/>
      <c r="CI650" s="24"/>
      <c r="CJ650" s="24"/>
      <c r="CK650" s="24"/>
      <c r="CL650" s="24"/>
      <c r="CM650" s="24"/>
      <c r="CN650" s="24"/>
      <c r="CO650" s="24"/>
      <c r="CP650" s="24"/>
      <c r="CQ650" s="24"/>
      <c r="CR650" s="24"/>
      <c r="CS650" s="24"/>
      <c r="CT650" s="24"/>
      <c r="CU650" s="24"/>
    </row>
    <row r="651">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c r="CR651" s="24"/>
      <c r="CS651" s="24"/>
      <c r="CT651" s="24"/>
      <c r="CU651" s="24"/>
    </row>
    <row r="652">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c r="BR652" s="24"/>
      <c r="BS652" s="24"/>
      <c r="BT652" s="24"/>
      <c r="BU652" s="24"/>
      <c r="BV652" s="24"/>
      <c r="BW652" s="24"/>
      <c r="BX652" s="24"/>
      <c r="BY652" s="24"/>
      <c r="BZ652" s="24"/>
      <c r="CA652" s="24"/>
      <c r="CB652" s="24"/>
      <c r="CC652" s="24"/>
      <c r="CD652" s="24"/>
      <c r="CE652" s="24"/>
      <c r="CF652" s="24"/>
      <c r="CG652" s="24"/>
      <c r="CH652" s="24"/>
      <c r="CI652" s="24"/>
      <c r="CJ652" s="24"/>
      <c r="CK652" s="24"/>
      <c r="CL652" s="24"/>
      <c r="CM652" s="24"/>
      <c r="CN652" s="24"/>
      <c r="CO652" s="24"/>
      <c r="CP652" s="24"/>
      <c r="CQ652" s="24"/>
      <c r="CR652" s="24"/>
      <c r="CS652" s="24"/>
      <c r="CT652" s="24"/>
      <c r="CU652" s="24"/>
    </row>
    <row r="653">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c r="CM653" s="24"/>
      <c r="CN653" s="24"/>
      <c r="CO653" s="24"/>
      <c r="CP653" s="24"/>
      <c r="CQ653" s="24"/>
      <c r="CR653" s="24"/>
      <c r="CS653" s="24"/>
      <c r="CT653" s="24"/>
      <c r="CU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c r="BR654" s="24"/>
      <c r="BS654" s="24"/>
      <c r="BT654" s="24"/>
      <c r="BU654" s="24"/>
      <c r="BV654" s="24"/>
      <c r="BW654" s="24"/>
      <c r="BX654" s="24"/>
      <c r="BY654" s="24"/>
      <c r="BZ654" s="24"/>
      <c r="CA654" s="24"/>
      <c r="CB654" s="24"/>
      <c r="CC654" s="24"/>
      <c r="CD654" s="24"/>
      <c r="CE654" s="24"/>
      <c r="CF654" s="24"/>
      <c r="CG654" s="24"/>
      <c r="CH654" s="24"/>
      <c r="CI654" s="24"/>
      <c r="CJ654" s="24"/>
      <c r="CK654" s="24"/>
      <c r="CL654" s="24"/>
      <c r="CM654" s="24"/>
      <c r="CN654" s="24"/>
      <c r="CO654" s="24"/>
      <c r="CP654" s="24"/>
      <c r="CQ654" s="24"/>
      <c r="CR654" s="24"/>
      <c r="CS654" s="24"/>
      <c r="CT654" s="24"/>
      <c r="CU654" s="24"/>
    </row>
    <row r="655">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c r="CM655" s="24"/>
      <c r="CN655" s="24"/>
      <c r="CO655" s="24"/>
      <c r="CP655" s="24"/>
      <c r="CQ655" s="24"/>
      <c r="CR655" s="24"/>
      <c r="CS655" s="24"/>
      <c r="CT655" s="24"/>
      <c r="CU655" s="24"/>
    </row>
    <row r="656">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c r="BR656" s="24"/>
      <c r="BS656" s="24"/>
      <c r="BT656" s="24"/>
      <c r="BU656" s="24"/>
      <c r="BV656" s="24"/>
      <c r="BW656" s="24"/>
      <c r="BX656" s="24"/>
      <c r="BY656" s="24"/>
      <c r="BZ656" s="24"/>
      <c r="CA656" s="24"/>
      <c r="CB656" s="24"/>
      <c r="CC656" s="24"/>
      <c r="CD656" s="24"/>
      <c r="CE656" s="24"/>
      <c r="CF656" s="24"/>
      <c r="CG656" s="24"/>
      <c r="CH656" s="24"/>
      <c r="CI656" s="24"/>
      <c r="CJ656" s="24"/>
      <c r="CK656" s="24"/>
      <c r="CL656" s="24"/>
      <c r="CM656" s="24"/>
      <c r="CN656" s="24"/>
      <c r="CO656" s="24"/>
      <c r="CP656" s="24"/>
      <c r="CQ656" s="24"/>
      <c r="CR656" s="24"/>
      <c r="CS656" s="24"/>
      <c r="CT656" s="24"/>
      <c r="CU656" s="24"/>
    </row>
    <row r="657">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c r="CM657" s="24"/>
      <c r="CN657" s="24"/>
      <c r="CO657" s="24"/>
      <c r="CP657" s="24"/>
      <c r="CQ657" s="24"/>
      <c r="CR657" s="24"/>
      <c r="CS657" s="24"/>
      <c r="CT657" s="24"/>
      <c r="CU657" s="24"/>
    </row>
    <row r="658">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c r="BT658" s="24"/>
      <c r="BU658" s="24"/>
      <c r="BV658" s="24"/>
      <c r="BW658" s="24"/>
      <c r="BX658" s="24"/>
      <c r="BY658" s="24"/>
      <c r="BZ658" s="24"/>
      <c r="CA658" s="24"/>
      <c r="CB658" s="24"/>
      <c r="CC658" s="24"/>
      <c r="CD658" s="24"/>
      <c r="CE658" s="24"/>
      <c r="CF658" s="24"/>
      <c r="CG658" s="24"/>
      <c r="CH658" s="24"/>
      <c r="CI658" s="24"/>
      <c r="CJ658" s="24"/>
      <c r="CK658" s="24"/>
      <c r="CL658" s="24"/>
      <c r="CM658" s="24"/>
      <c r="CN658" s="24"/>
      <c r="CO658" s="24"/>
      <c r="CP658" s="24"/>
      <c r="CQ658" s="24"/>
      <c r="CR658" s="24"/>
      <c r="CS658" s="24"/>
      <c r="CT658" s="24"/>
      <c r="CU658" s="24"/>
    </row>
    <row r="659">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c r="CR659" s="24"/>
      <c r="CS659" s="24"/>
      <c r="CT659" s="24"/>
      <c r="CU659" s="24"/>
    </row>
    <row r="660">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c r="BT660" s="24"/>
      <c r="BU660" s="24"/>
      <c r="BV660" s="24"/>
      <c r="BW660" s="24"/>
      <c r="BX660" s="24"/>
      <c r="BY660" s="24"/>
      <c r="BZ660" s="24"/>
      <c r="CA660" s="24"/>
      <c r="CB660" s="24"/>
      <c r="CC660" s="24"/>
      <c r="CD660" s="24"/>
      <c r="CE660" s="24"/>
      <c r="CF660" s="24"/>
      <c r="CG660" s="24"/>
      <c r="CH660" s="24"/>
      <c r="CI660" s="24"/>
      <c r="CJ660" s="24"/>
      <c r="CK660" s="24"/>
      <c r="CL660" s="24"/>
      <c r="CM660" s="24"/>
      <c r="CN660" s="24"/>
      <c r="CO660" s="24"/>
      <c r="CP660" s="24"/>
      <c r="CQ660" s="24"/>
      <c r="CR660" s="24"/>
      <c r="CS660" s="24"/>
      <c r="CT660" s="24"/>
      <c r="CU660" s="24"/>
    </row>
    <row r="661">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c r="CO661" s="24"/>
      <c r="CP661" s="24"/>
      <c r="CQ661" s="24"/>
      <c r="CR661" s="24"/>
      <c r="CS661" s="24"/>
      <c r="CT661" s="24"/>
      <c r="CU661" s="24"/>
    </row>
    <row r="662">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c r="BR662" s="24"/>
      <c r="BS662" s="24"/>
      <c r="BT662" s="24"/>
      <c r="BU662" s="24"/>
      <c r="BV662" s="24"/>
      <c r="BW662" s="24"/>
      <c r="BX662" s="24"/>
      <c r="BY662" s="24"/>
      <c r="BZ662" s="24"/>
      <c r="CA662" s="24"/>
      <c r="CB662" s="24"/>
      <c r="CC662" s="24"/>
      <c r="CD662" s="24"/>
      <c r="CE662" s="24"/>
      <c r="CF662" s="24"/>
      <c r="CG662" s="24"/>
      <c r="CH662" s="24"/>
      <c r="CI662" s="24"/>
      <c r="CJ662" s="24"/>
      <c r="CK662" s="24"/>
      <c r="CL662" s="24"/>
      <c r="CM662" s="24"/>
      <c r="CN662" s="24"/>
      <c r="CO662" s="24"/>
      <c r="CP662" s="24"/>
      <c r="CQ662" s="24"/>
      <c r="CR662" s="24"/>
      <c r="CS662" s="24"/>
      <c r="CT662" s="24"/>
      <c r="CU662" s="24"/>
    </row>
    <row r="663">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c r="CR663" s="24"/>
      <c r="CS663" s="24"/>
      <c r="CT663" s="24"/>
      <c r="CU663" s="24"/>
    </row>
    <row r="66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c r="BR664" s="24"/>
      <c r="BS664" s="24"/>
      <c r="BT664" s="24"/>
      <c r="BU664" s="24"/>
      <c r="BV664" s="24"/>
      <c r="BW664" s="24"/>
      <c r="BX664" s="24"/>
      <c r="BY664" s="24"/>
      <c r="BZ664" s="24"/>
      <c r="CA664" s="24"/>
      <c r="CB664" s="24"/>
      <c r="CC664" s="24"/>
      <c r="CD664" s="24"/>
      <c r="CE664" s="24"/>
      <c r="CF664" s="24"/>
      <c r="CG664" s="24"/>
      <c r="CH664" s="24"/>
      <c r="CI664" s="24"/>
      <c r="CJ664" s="24"/>
      <c r="CK664" s="24"/>
      <c r="CL664" s="24"/>
      <c r="CM664" s="24"/>
      <c r="CN664" s="24"/>
      <c r="CO664" s="24"/>
      <c r="CP664" s="24"/>
      <c r="CQ664" s="24"/>
      <c r="CR664" s="24"/>
      <c r="CS664" s="24"/>
      <c r="CT664" s="24"/>
      <c r="CU664" s="24"/>
    </row>
    <row r="665">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c r="CO665" s="24"/>
      <c r="CP665" s="24"/>
      <c r="CQ665" s="24"/>
      <c r="CR665" s="24"/>
      <c r="CS665" s="24"/>
      <c r="CT665" s="24"/>
      <c r="CU665" s="24"/>
    </row>
    <row r="666">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c r="BT666" s="24"/>
      <c r="BU666" s="24"/>
      <c r="BV666" s="24"/>
      <c r="BW666" s="24"/>
      <c r="BX666" s="24"/>
      <c r="BY666" s="24"/>
      <c r="BZ666" s="24"/>
      <c r="CA666" s="24"/>
      <c r="CB666" s="24"/>
      <c r="CC666" s="24"/>
      <c r="CD666" s="24"/>
      <c r="CE666" s="24"/>
      <c r="CF666" s="24"/>
      <c r="CG666" s="24"/>
      <c r="CH666" s="24"/>
      <c r="CI666" s="24"/>
      <c r="CJ666" s="24"/>
      <c r="CK666" s="24"/>
      <c r="CL666" s="24"/>
      <c r="CM666" s="24"/>
      <c r="CN666" s="24"/>
      <c r="CO666" s="24"/>
      <c r="CP666" s="24"/>
      <c r="CQ666" s="24"/>
      <c r="CR666" s="24"/>
      <c r="CS666" s="24"/>
      <c r="CT666" s="24"/>
      <c r="CU666" s="24"/>
    </row>
    <row r="667">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c r="CR667" s="24"/>
      <c r="CS667" s="24"/>
      <c r="CT667" s="24"/>
      <c r="CU667" s="24"/>
    </row>
    <row r="668">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c r="BT668" s="24"/>
      <c r="BU668" s="24"/>
      <c r="BV668" s="24"/>
      <c r="BW668" s="24"/>
      <c r="BX668" s="24"/>
      <c r="BY668" s="24"/>
      <c r="BZ668" s="24"/>
      <c r="CA668" s="24"/>
      <c r="CB668" s="24"/>
      <c r="CC668" s="24"/>
      <c r="CD668" s="24"/>
      <c r="CE668" s="24"/>
      <c r="CF668" s="24"/>
      <c r="CG668" s="24"/>
      <c r="CH668" s="24"/>
      <c r="CI668" s="24"/>
      <c r="CJ668" s="24"/>
      <c r="CK668" s="24"/>
      <c r="CL668" s="24"/>
      <c r="CM668" s="24"/>
      <c r="CN668" s="24"/>
      <c r="CO668" s="24"/>
      <c r="CP668" s="24"/>
      <c r="CQ668" s="24"/>
      <c r="CR668" s="24"/>
      <c r="CS668" s="24"/>
      <c r="CT668" s="24"/>
      <c r="CU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c r="CM669" s="24"/>
      <c r="CN669" s="24"/>
      <c r="CO669" s="24"/>
      <c r="CP669" s="24"/>
      <c r="CQ669" s="24"/>
      <c r="CR669" s="24"/>
      <c r="CS669" s="24"/>
      <c r="CT669" s="24"/>
      <c r="CU669" s="24"/>
    </row>
    <row r="670">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c r="BT670" s="24"/>
      <c r="BU670" s="24"/>
      <c r="BV670" s="24"/>
      <c r="BW670" s="24"/>
      <c r="BX670" s="24"/>
      <c r="BY670" s="24"/>
      <c r="BZ670" s="24"/>
      <c r="CA670" s="24"/>
      <c r="CB670" s="24"/>
      <c r="CC670" s="24"/>
      <c r="CD670" s="24"/>
      <c r="CE670" s="24"/>
      <c r="CF670" s="24"/>
      <c r="CG670" s="24"/>
      <c r="CH670" s="24"/>
      <c r="CI670" s="24"/>
      <c r="CJ670" s="24"/>
      <c r="CK670" s="24"/>
      <c r="CL670" s="24"/>
      <c r="CM670" s="24"/>
      <c r="CN670" s="24"/>
      <c r="CO670" s="24"/>
      <c r="CP670" s="24"/>
      <c r="CQ670" s="24"/>
      <c r="CR670" s="24"/>
      <c r="CS670" s="24"/>
      <c r="CT670" s="24"/>
      <c r="CU670" s="24"/>
    </row>
    <row r="671">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c r="CR671" s="24"/>
      <c r="CS671" s="24"/>
      <c r="CT671" s="24"/>
      <c r="CU671" s="24"/>
    </row>
    <row r="672">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c r="BR672" s="24"/>
      <c r="BS672" s="24"/>
      <c r="BT672" s="24"/>
      <c r="BU672" s="24"/>
      <c r="BV672" s="24"/>
      <c r="BW672" s="24"/>
      <c r="BX672" s="24"/>
      <c r="BY672" s="24"/>
      <c r="BZ672" s="24"/>
      <c r="CA672" s="24"/>
      <c r="CB672" s="24"/>
      <c r="CC672" s="24"/>
      <c r="CD672" s="24"/>
      <c r="CE672" s="24"/>
      <c r="CF672" s="24"/>
      <c r="CG672" s="24"/>
      <c r="CH672" s="24"/>
      <c r="CI672" s="24"/>
      <c r="CJ672" s="24"/>
      <c r="CK672" s="24"/>
      <c r="CL672" s="24"/>
      <c r="CM672" s="24"/>
      <c r="CN672" s="24"/>
      <c r="CO672" s="24"/>
      <c r="CP672" s="24"/>
      <c r="CQ672" s="24"/>
      <c r="CR672" s="24"/>
      <c r="CS672" s="24"/>
      <c r="CT672" s="24"/>
      <c r="CU672" s="24"/>
    </row>
    <row r="673">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c r="CR673" s="24"/>
      <c r="CS673" s="24"/>
      <c r="CT673" s="24"/>
      <c r="CU673" s="24"/>
    </row>
    <row r="67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c r="BT674" s="24"/>
      <c r="BU674" s="24"/>
      <c r="BV674" s="24"/>
      <c r="BW674" s="24"/>
      <c r="BX674" s="24"/>
      <c r="BY674" s="24"/>
      <c r="BZ674" s="24"/>
      <c r="CA674" s="24"/>
      <c r="CB674" s="24"/>
      <c r="CC674" s="24"/>
      <c r="CD674" s="24"/>
      <c r="CE674" s="24"/>
      <c r="CF674" s="24"/>
      <c r="CG674" s="24"/>
      <c r="CH674" s="24"/>
      <c r="CI674" s="24"/>
      <c r="CJ674" s="24"/>
      <c r="CK674" s="24"/>
      <c r="CL674" s="24"/>
      <c r="CM674" s="24"/>
      <c r="CN674" s="24"/>
      <c r="CO674" s="24"/>
      <c r="CP674" s="24"/>
      <c r="CQ674" s="24"/>
      <c r="CR674" s="24"/>
      <c r="CS674" s="24"/>
      <c r="CT674" s="24"/>
      <c r="CU674" s="24"/>
    </row>
    <row r="675">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c r="CR675" s="24"/>
      <c r="CS675" s="24"/>
      <c r="CT675" s="24"/>
      <c r="CU675" s="24"/>
    </row>
    <row r="676">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c r="BT676" s="24"/>
      <c r="BU676" s="24"/>
      <c r="BV676" s="24"/>
      <c r="BW676" s="24"/>
      <c r="BX676" s="24"/>
      <c r="BY676" s="24"/>
      <c r="BZ676" s="24"/>
      <c r="CA676" s="24"/>
      <c r="CB676" s="24"/>
      <c r="CC676" s="24"/>
      <c r="CD676" s="24"/>
      <c r="CE676" s="24"/>
      <c r="CF676" s="24"/>
      <c r="CG676" s="24"/>
      <c r="CH676" s="24"/>
      <c r="CI676" s="24"/>
      <c r="CJ676" s="24"/>
      <c r="CK676" s="24"/>
      <c r="CL676" s="24"/>
      <c r="CM676" s="24"/>
      <c r="CN676" s="24"/>
      <c r="CO676" s="24"/>
      <c r="CP676" s="24"/>
      <c r="CQ676" s="24"/>
      <c r="CR676" s="24"/>
      <c r="CS676" s="24"/>
      <c r="CT676" s="24"/>
      <c r="CU676" s="24"/>
    </row>
    <row r="677">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c r="CR677" s="24"/>
      <c r="CS677" s="24"/>
      <c r="CT677" s="24"/>
      <c r="CU677" s="24"/>
    </row>
    <row r="678">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c r="BT678" s="24"/>
      <c r="BU678" s="24"/>
      <c r="BV678" s="24"/>
      <c r="BW678" s="24"/>
      <c r="BX678" s="24"/>
      <c r="BY678" s="24"/>
      <c r="BZ678" s="24"/>
      <c r="CA678" s="24"/>
      <c r="CB678" s="24"/>
      <c r="CC678" s="24"/>
      <c r="CD678" s="24"/>
      <c r="CE678" s="24"/>
      <c r="CF678" s="24"/>
      <c r="CG678" s="24"/>
      <c r="CH678" s="24"/>
      <c r="CI678" s="24"/>
      <c r="CJ678" s="24"/>
      <c r="CK678" s="24"/>
      <c r="CL678" s="24"/>
      <c r="CM678" s="24"/>
      <c r="CN678" s="24"/>
      <c r="CO678" s="24"/>
      <c r="CP678" s="24"/>
      <c r="CQ678" s="24"/>
      <c r="CR678" s="24"/>
      <c r="CS678" s="24"/>
      <c r="CT678" s="24"/>
      <c r="CU678" s="24"/>
    </row>
    <row r="679">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c r="CR679" s="24"/>
      <c r="CS679" s="24"/>
      <c r="CT679" s="24"/>
      <c r="CU679" s="24"/>
    </row>
    <row r="680">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c r="BT680" s="24"/>
      <c r="BU680" s="24"/>
      <c r="BV680" s="24"/>
      <c r="BW680" s="24"/>
      <c r="BX680" s="24"/>
      <c r="BY680" s="24"/>
      <c r="BZ680" s="24"/>
      <c r="CA680" s="24"/>
      <c r="CB680" s="24"/>
      <c r="CC680" s="24"/>
      <c r="CD680" s="24"/>
      <c r="CE680" s="24"/>
      <c r="CF680" s="24"/>
      <c r="CG680" s="24"/>
      <c r="CH680" s="24"/>
      <c r="CI680" s="24"/>
      <c r="CJ680" s="24"/>
      <c r="CK680" s="24"/>
      <c r="CL680" s="24"/>
      <c r="CM680" s="24"/>
      <c r="CN680" s="24"/>
      <c r="CO680" s="24"/>
      <c r="CP680" s="24"/>
      <c r="CQ680" s="24"/>
      <c r="CR680" s="24"/>
      <c r="CS680" s="24"/>
      <c r="CT680" s="24"/>
      <c r="CU680" s="24"/>
    </row>
    <row r="681">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c r="CR681" s="24"/>
      <c r="CS681" s="24"/>
      <c r="CT681" s="24"/>
      <c r="CU681" s="24"/>
    </row>
    <row r="682">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c r="BT682" s="24"/>
      <c r="BU682" s="24"/>
      <c r="BV682" s="24"/>
      <c r="BW682" s="24"/>
      <c r="BX682" s="24"/>
      <c r="BY682" s="24"/>
      <c r="BZ682" s="24"/>
      <c r="CA682" s="24"/>
      <c r="CB682" s="24"/>
      <c r="CC682" s="24"/>
      <c r="CD682" s="24"/>
      <c r="CE682" s="24"/>
      <c r="CF682" s="24"/>
      <c r="CG682" s="24"/>
      <c r="CH682" s="24"/>
      <c r="CI682" s="24"/>
      <c r="CJ682" s="24"/>
      <c r="CK682" s="24"/>
      <c r="CL682" s="24"/>
      <c r="CM682" s="24"/>
      <c r="CN682" s="24"/>
      <c r="CO682" s="24"/>
      <c r="CP682" s="24"/>
      <c r="CQ682" s="24"/>
      <c r="CR682" s="24"/>
      <c r="CS682" s="24"/>
      <c r="CT682" s="24"/>
      <c r="CU682" s="24"/>
    </row>
    <row r="683">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c r="CR683" s="24"/>
      <c r="CS683" s="24"/>
      <c r="CT683" s="24"/>
      <c r="CU683" s="24"/>
    </row>
    <row r="68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c r="BR684" s="24"/>
      <c r="BS684" s="24"/>
      <c r="BT684" s="24"/>
      <c r="BU684" s="24"/>
      <c r="BV684" s="24"/>
      <c r="BW684" s="24"/>
      <c r="BX684" s="24"/>
      <c r="BY684" s="24"/>
      <c r="BZ684" s="24"/>
      <c r="CA684" s="24"/>
      <c r="CB684" s="24"/>
      <c r="CC684" s="24"/>
      <c r="CD684" s="24"/>
      <c r="CE684" s="24"/>
      <c r="CF684" s="24"/>
      <c r="CG684" s="24"/>
      <c r="CH684" s="24"/>
      <c r="CI684" s="24"/>
      <c r="CJ684" s="24"/>
      <c r="CK684" s="24"/>
      <c r="CL684" s="24"/>
      <c r="CM684" s="24"/>
      <c r="CN684" s="24"/>
      <c r="CO684" s="24"/>
      <c r="CP684" s="24"/>
      <c r="CQ684" s="24"/>
      <c r="CR684" s="24"/>
      <c r="CS684" s="24"/>
      <c r="CT684" s="24"/>
      <c r="CU684" s="24"/>
    </row>
    <row r="685">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c r="CR685" s="24"/>
      <c r="CS685" s="24"/>
      <c r="CT685" s="24"/>
      <c r="CU685" s="24"/>
    </row>
    <row r="686">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c r="BR686" s="24"/>
      <c r="BS686" s="24"/>
      <c r="BT686" s="24"/>
      <c r="BU686" s="24"/>
      <c r="BV686" s="24"/>
      <c r="BW686" s="24"/>
      <c r="BX686" s="24"/>
      <c r="BY686" s="24"/>
      <c r="BZ686" s="24"/>
      <c r="CA686" s="24"/>
      <c r="CB686" s="24"/>
      <c r="CC686" s="24"/>
      <c r="CD686" s="24"/>
      <c r="CE686" s="24"/>
      <c r="CF686" s="24"/>
      <c r="CG686" s="24"/>
      <c r="CH686" s="24"/>
      <c r="CI686" s="24"/>
      <c r="CJ686" s="24"/>
      <c r="CK686" s="24"/>
      <c r="CL686" s="24"/>
      <c r="CM686" s="24"/>
      <c r="CN686" s="24"/>
      <c r="CO686" s="24"/>
      <c r="CP686" s="24"/>
      <c r="CQ686" s="24"/>
      <c r="CR686" s="24"/>
      <c r="CS686" s="24"/>
      <c r="CT686" s="24"/>
      <c r="CU686" s="24"/>
    </row>
    <row r="687">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c r="CR687" s="24"/>
      <c r="CS687" s="24"/>
      <c r="CT687" s="24"/>
      <c r="CU687" s="24"/>
    </row>
    <row r="688">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c r="BR688" s="24"/>
      <c r="BS688" s="24"/>
      <c r="BT688" s="24"/>
      <c r="BU688" s="24"/>
      <c r="BV688" s="24"/>
      <c r="BW688" s="24"/>
      <c r="BX688" s="24"/>
      <c r="BY688" s="24"/>
      <c r="BZ688" s="24"/>
      <c r="CA688" s="24"/>
      <c r="CB688" s="24"/>
      <c r="CC688" s="24"/>
      <c r="CD688" s="24"/>
      <c r="CE688" s="24"/>
      <c r="CF688" s="24"/>
      <c r="CG688" s="24"/>
      <c r="CH688" s="24"/>
      <c r="CI688" s="24"/>
      <c r="CJ688" s="24"/>
      <c r="CK688" s="24"/>
      <c r="CL688" s="24"/>
      <c r="CM688" s="24"/>
      <c r="CN688" s="24"/>
      <c r="CO688" s="24"/>
      <c r="CP688" s="24"/>
      <c r="CQ688" s="24"/>
      <c r="CR688" s="24"/>
      <c r="CS688" s="24"/>
      <c r="CT688" s="24"/>
      <c r="CU688" s="24"/>
    </row>
    <row r="689">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c r="CR689" s="24"/>
      <c r="CS689" s="24"/>
      <c r="CT689" s="24"/>
      <c r="CU689" s="24"/>
    </row>
    <row r="690">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c r="BR690" s="24"/>
      <c r="BS690" s="24"/>
      <c r="BT690" s="24"/>
      <c r="BU690" s="24"/>
      <c r="BV690" s="24"/>
      <c r="BW690" s="24"/>
      <c r="BX690" s="24"/>
      <c r="BY690" s="24"/>
      <c r="BZ690" s="24"/>
      <c r="CA690" s="24"/>
      <c r="CB690" s="24"/>
      <c r="CC690" s="24"/>
      <c r="CD690" s="24"/>
      <c r="CE690" s="24"/>
      <c r="CF690" s="24"/>
      <c r="CG690" s="24"/>
      <c r="CH690" s="24"/>
      <c r="CI690" s="24"/>
      <c r="CJ690" s="24"/>
      <c r="CK690" s="24"/>
      <c r="CL690" s="24"/>
      <c r="CM690" s="24"/>
      <c r="CN690" s="24"/>
      <c r="CO690" s="24"/>
      <c r="CP690" s="24"/>
      <c r="CQ690" s="24"/>
      <c r="CR690" s="24"/>
      <c r="CS690" s="24"/>
      <c r="CT690" s="24"/>
      <c r="CU690" s="24"/>
    </row>
    <row r="691">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c r="CR691" s="24"/>
      <c r="CS691" s="24"/>
      <c r="CT691" s="24"/>
      <c r="CU691" s="24"/>
    </row>
    <row r="692">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c r="BR692" s="24"/>
      <c r="BS692" s="24"/>
      <c r="BT692" s="24"/>
      <c r="BU692" s="24"/>
      <c r="BV692" s="24"/>
      <c r="BW692" s="24"/>
      <c r="BX692" s="24"/>
      <c r="BY692" s="24"/>
      <c r="BZ692" s="24"/>
      <c r="CA692" s="24"/>
      <c r="CB692" s="24"/>
      <c r="CC692" s="24"/>
      <c r="CD692" s="24"/>
      <c r="CE692" s="24"/>
      <c r="CF692" s="24"/>
      <c r="CG692" s="24"/>
      <c r="CH692" s="24"/>
      <c r="CI692" s="24"/>
      <c r="CJ692" s="24"/>
      <c r="CK692" s="24"/>
      <c r="CL692" s="24"/>
      <c r="CM692" s="24"/>
      <c r="CN692" s="24"/>
      <c r="CO692" s="24"/>
      <c r="CP692" s="24"/>
      <c r="CQ692" s="24"/>
      <c r="CR692" s="24"/>
      <c r="CS692" s="24"/>
      <c r="CT692" s="24"/>
      <c r="CU692" s="24"/>
    </row>
    <row r="693">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c r="CM693" s="24"/>
      <c r="CN693" s="24"/>
      <c r="CO693" s="24"/>
      <c r="CP693" s="24"/>
      <c r="CQ693" s="24"/>
      <c r="CR693" s="24"/>
      <c r="CS693" s="24"/>
      <c r="CT693" s="24"/>
      <c r="CU693" s="24"/>
    </row>
    <row r="69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c r="BR694" s="24"/>
      <c r="BS694" s="24"/>
      <c r="BT694" s="24"/>
      <c r="BU694" s="24"/>
      <c r="BV694" s="24"/>
      <c r="BW694" s="24"/>
      <c r="BX694" s="24"/>
      <c r="BY694" s="24"/>
      <c r="BZ694" s="24"/>
      <c r="CA694" s="24"/>
      <c r="CB694" s="24"/>
      <c r="CC694" s="24"/>
      <c r="CD694" s="24"/>
      <c r="CE694" s="24"/>
      <c r="CF694" s="24"/>
      <c r="CG694" s="24"/>
      <c r="CH694" s="24"/>
      <c r="CI694" s="24"/>
      <c r="CJ694" s="24"/>
      <c r="CK694" s="24"/>
      <c r="CL694" s="24"/>
      <c r="CM694" s="24"/>
      <c r="CN694" s="24"/>
      <c r="CO694" s="24"/>
      <c r="CP694" s="24"/>
      <c r="CQ694" s="24"/>
      <c r="CR694" s="24"/>
      <c r="CS694" s="24"/>
      <c r="CT694" s="24"/>
      <c r="CU694" s="24"/>
    </row>
    <row r="695">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c r="CR695" s="24"/>
      <c r="CS695" s="24"/>
      <c r="CT695" s="24"/>
      <c r="CU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c r="BR696" s="24"/>
      <c r="BS696" s="24"/>
      <c r="BT696" s="24"/>
      <c r="BU696" s="24"/>
      <c r="BV696" s="24"/>
      <c r="BW696" s="24"/>
      <c r="BX696" s="24"/>
      <c r="BY696" s="24"/>
      <c r="BZ696" s="24"/>
      <c r="CA696" s="24"/>
      <c r="CB696" s="24"/>
      <c r="CC696" s="24"/>
      <c r="CD696" s="24"/>
      <c r="CE696" s="24"/>
      <c r="CF696" s="24"/>
      <c r="CG696" s="24"/>
      <c r="CH696" s="24"/>
      <c r="CI696" s="24"/>
      <c r="CJ696" s="24"/>
      <c r="CK696" s="24"/>
      <c r="CL696" s="24"/>
      <c r="CM696" s="24"/>
      <c r="CN696" s="24"/>
      <c r="CO696" s="24"/>
      <c r="CP696" s="24"/>
      <c r="CQ696" s="24"/>
      <c r="CR696" s="24"/>
      <c r="CS696" s="24"/>
      <c r="CT696" s="24"/>
      <c r="CU696" s="24"/>
    </row>
    <row r="697">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c r="CR697" s="24"/>
      <c r="CS697" s="24"/>
      <c r="CT697" s="24"/>
      <c r="CU697" s="24"/>
    </row>
    <row r="698">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c r="BR698" s="24"/>
      <c r="BS698" s="24"/>
      <c r="BT698" s="24"/>
      <c r="BU698" s="24"/>
      <c r="BV698" s="24"/>
      <c r="BW698" s="24"/>
      <c r="BX698" s="24"/>
      <c r="BY698" s="24"/>
      <c r="BZ698" s="24"/>
      <c r="CA698" s="24"/>
      <c r="CB698" s="24"/>
      <c r="CC698" s="24"/>
      <c r="CD698" s="24"/>
      <c r="CE698" s="24"/>
      <c r="CF698" s="24"/>
      <c r="CG698" s="24"/>
      <c r="CH698" s="24"/>
      <c r="CI698" s="24"/>
      <c r="CJ698" s="24"/>
      <c r="CK698" s="24"/>
      <c r="CL698" s="24"/>
      <c r="CM698" s="24"/>
      <c r="CN698" s="24"/>
      <c r="CO698" s="24"/>
      <c r="CP698" s="24"/>
      <c r="CQ698" s="24"/>
      <c r="CR698" s="24"/>
      <c r="CS698" s="24"/>
      <c r="CT698" s="24"/>
      <c r="CU698" s="24"/>
    </row>
    <row r="699">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c r="CR699" s="24"/>
      <c r="CS699" s="24"/>
      <c r="CT699" s="24"/>
      <c r="CU699" s="24"/>
    </row>
    <row r="700">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c r="BR700" s="24"/>
      <c r="BS700" s="24"/>
      <c r="BT700" s="24"/>
      <c r="BU700" s="24"/>
      <c r="BV700" s="24"/>
      <c r="BW700" s="24"/>
      <c r="BX700" s="24"/>
      <c r="BY700" s="24"/>
      <c r="BZ700" s="24"/>
      <c r="CA700" s="24"/>
      <c r="CB700" s="24"/>
      <c r="CC700" s="24"/>
      <c r="CD700" s="24"/>
      <c r="CE700" s="24"/>
      <c r="CF700" s="24"/>
      <c r="CG700" s="24"/>
      <c r="CH700" s="24"/>
      <c r="CI700" s="24"/>
      <c r="CJ700" s="24"/>
      <c r="CK700" s="24"/>
      <c r="CL700" s="24"/>
      <c r="CM700" s="24"/>
      <c r="CN700" s="24"/>
      <c r="CO700" s="24"/>
      <c r="CP700" s="24"/>
      <c r="CQ700" s="24"/>
      <c r="CR700" s="24"/>
      <c r="CS700" s="24"/>
      <c r="CT700" s="24"/>
      <c r="CU700" s="24"/>
    </row>
    <row r="701">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c r="CM701" s="24"/>
      <c r="CN701" s="24"/>
      <c r="CO701" s="24"/>
      <c r="CP701" s="24"/>
      <c r="CQ701" s="24"/>
      <c r="CR701" s="24"/>
      <c r="CS701" s="24"/>
      <c r="CT701" s="24"/>
      <c r="CU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c r="BQ702" s="24"/>
      <c r="BR702" s="24"/>
      <c r="BS702" s="24"/>
      <c r="BT702" s="24"/>
      <c r="BU702" s="24"/>
      <c r="BV702" s="24"/>
      <c r="BW702" s="24"/>
      <c r="BX702" s="24"/>
      <c r="BY702" s="24"/>
      <c r="BZ702" s="24"/>
      <c r="CA702" s="24"/>
      <c r="CB702" s="24"/>
      <c r="CC702" s="24"/>
      <c r="CD702" s="24"/>
      <c r="CE702" s="24"/>
      <c r="CF702" s="24"/>
      <c r="CG702" s="24"/>
      <c r="CH702" s="24"/>
      <c r="CI702" s="24"/>
      <c r="CJ702" s="24"/>
      <c r="CK702" s="24"/>
      <c r="CL702" s="24"/>
      <c r="CM702" s="24"/>
      <c r="CN702" s="24"/>
      <c r="CO702" s="24"/>
      <c r="CP702" s="24"/>
      <c r="CQ702" s="24"/>
      <c r="CR702" s="24"/>
      <c r="CS702" s="24"/>
      <c r="CT702" s="24"/>
      <c r="CU702" s="24"/>
    </row>
    <row r="703">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c r="CM703" s="24"/>
      <c r="CN703" s="24"/>
      <c r="CO703" s="24"/>
      <c r="CP703" s="24"/>
      <c r="CQ703" s="24"/>
      <c r="CR703" s="24"/>
      <c r="CS703" s="24"/>
      <c r="CT703" s="24"/>
      <c r="CU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c r="BQ704" s="24"/>
      <c r="BR704" s="24"/>
      <c r="BS704" s="24"/>
      <c r="BT704" s="24"/>
      <c r="BU704" s="24"/>
      <c r="BV704" s="24"/>
      <c r="BW704" s="24"/>
      <c r="BX704" s="24"/>
      <c r="BY704" s="24"/>
      <c r="BZ704" s="24"/>
      <c r="CA704" s="24"/>
      <c r="CB704" s="24"/>
      <c r="CC704" s="24"/>
      <c r="CD704" s="24"/>
      <c r="CE704" s="24"/>
      <c r="CF704" s="24"/>
      <c r="CG704" s="24"/>
      <c r="CH704" s="24"/>
      <c r="CI704" s="24"/>
      <c r="CJ704" s="24"/>
      <c r="CK704" s="24"/>
      <c r="CL704" s="24"/>
      <c r="CM704" s="24"/>
      <c r="CN704" s="24"/>
      <c r="CO704" s="24"/>
      <c r="CP704" s="24"/>
      <c r="CQ704" s="24"/>
      <c r="CR704" s="24"/>
      <c r="CS704" s="24"/>
      <c r="CT704" s="24"/>
      <c r="CU704" s="24"/>
    </row>
    <row r="705">
      <c r="A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c r="BT705" s="24"/>
      <c r="BU705" s="24"/>
      <c r="BV705" s="24"/>
      <c r="BW705" s="24"/>
      <c r="BX705" s="24"/>
      <c r="BY705" s="24"/>
      <c r="BZ705" s="24"/>
      <c r="CA705" s="24"/>
      <c r="CB705" s="24"/>
      <c r="CC705" s="24"/>
      <c r="CD705" s="24"/>
      <c r="CE705" s="24"/>
      <c r="CF705" s="24"/>
      <c r="CG705" s="24"/>
      <c r="CH705" s="24"/>
      <c r="CI705" s="24"/>
      <c r="CJ705" s="24"/>
      <c r="CK705" s="24"/>
      <c r="CL705" s="24"/>
      <c r="CM705" s="24"/>
      <c r="CN705" s="24"/>
      <c r="CO705" s="24"/>
      <c r="CP705" s="24"/>
      <c r="CQ705" s="24"/>
      <c r="CR705" s="24"/>
      <c r="CS705" s="24"/>
      <c r="CT705" s="24"/>
      <c r="CU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c r="BQ706" s="24"/>
      <c r="BR706" s="24"/>
      <c r="BS706" s="24"/>
      <c r="BT706" s="24"/>
      <c r="BU706" s="24"/>
      <c r="BV706" s="24"/>
      <c r="BW706" s="24"/>
      <c r="BX706" s="24"/>
      <c r="BY706" s="24"/>
      <c r="BZ706" s="24"/>
      <c r="CA706" s="24"/>
      <c r="CB706" s="24"/>
      <c r="CC706" s="24"/>
      <c r="CD706" s="24"/>
      <c r="CE706" s="24"/>
      <c r="CF706" s="24"/>
      <c r="CG706" s="24"/>
      <c r="CH706" s="24"/>
      <c r="CI706" s="24"/>
      <c r="CJ706" s="24"/>
      <c r="CK706" s="24"/>
      <c r="CL706" s="24"/>
      <c r="CM706" s="24"/>
      <c r="CN706" s="24"/>
      <c r="CO706" s="24"/>
      <c r="CP706" s="24"/>
      <c r="CQ706" s="24"/>
      <c r="CR706" s="24"/>
      <c r="CS706" s="24"/>
      <c r="CT706" s="24"/>
      <c r="CU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c r="CM707" s="24"/>
      <c r="CN707" s="24"/>
      <c r="CO707" s="24"/>
      <c r="CP707" s="24"/>
      <c r="CQ707" s="24"/>
      <c r="CR707" s="24"/>
      <c r="CS707" s="24"/>
      <c r="CT707" s="24"/>
      <c r="CU707" s="24"/>
    </row>
    <row r="708">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c r="BQ708" s="24"/>
      <c r="BR708" s="24"/>
      <c r="BS708" s="24"/>
      <c r="BT708" s="24"/>
      <c r="BU708" s="24"/>
      <c r="BV708" s="24"/>
      <c r="BW708" s="24"/>
      <c r="BX708" s="24"/>
      <c r="BY708" s="24"/>
      <c r="BZ708" s="24"/>
      <c r="CA708" s="24"/>
      <c r="CB708" s="24"/>
      <c r="CC708" s="24"/>
      <c r="CD708" s="24"/>
      <c r="CE708" s="24"/>
      <c r="CF708" s="24"/>
      <c r="CG708" s="24"/>
      <c r="CH708" s="24"/>
      <c r="CI708" s="24"/>
      <c r="CJ708" s="24"/>
      <c r="CK708" s="24"/>
      <c r="CL708" s="24"/>
      <c r="CM708" s="24"/>
      <c r="CN708" s="24"/>
      <c r="CO708" s="24"/>
      <c r="CP708" s="24"/>
      <c r="CQ708" s="24"/>
      <c r="CR708" s="24"/>
      <c r="CS708" s="24"/>
      <c r="CT708" s="24"/>
      <c r="CU708" s="24"/>
    </row>
    <row r="709">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c r="BT709" s="24"/>
      <c r="BU709" s="24"/>
      <c r="BV709" s="24"/>
      <c r="BW709" s="24"/>
      <c r="BX709" s="24"/>
      <c r="BY709" s="24"/>
      <c r="BZ709" s="24"/>
      <c r="CA709" s="24"/>
      <c r="CB709" s="24"/>
      <c r="CC709" s="24"/>
      <c r="CD709" s="24"/>
      <c r="CE709" s="24"/>
      <c r="CF709" s="24"/>
      <c r="CG709" s="24"/>
      <c r="CH709" s="24"/>
      <c r="CI709" s="24"/>
      <c r="CJ709" s="24"/>
      <c r="CK709" s="24"/>
      <c r="CL709" s="24"/>
      <c r="CM709" s="24"/>
      <c r="CN709" s="24"/>
      <c r="CO709" s="24"/>
      <c r="CP709" s="24"/>
      <c r="CQ709" s="24"/>
      <c r="CR709" s="24"/>
      <c r="CS709" s="24"/>
      <c r="CT709" s="24"/>
      <c r="CU709" s="24"/>
    </row>
    <row r="710">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c r="BQ710" s="24"/>
      <c r="BR710" s="24"/>
      <c r="BS710" s="24"/>
      <c r="BT710" s="24"/>
      <c r="BU710" s="24"/>
      <c r="BV710" s="24"/>
      <c r="BW710" s="24"/>
      <c r="BX710" s="24"/>
      <c r="BY710" s="24"/>
      <c r="BZ710" s="24"/>
      <c r="CA710" s="24"/>
      <c r="CB710" s="24"/>
      <c r="CC710" s="24"/>
      <c r="CD710" s="24"/>
      <c r="CE710" s="24"/>
      <c r="CF710" s="24"/>
      <c r="CG710" s="24"/>
      <c r="CH710" s="24"/>
      <c r="CI710" s="24"/>
      <c r="CJ710" s="24"/>
      <c r="CK710" s="24"/>
      <c r="CL710" s="24"/>
      <c r="CM710" s="24"/>
      <c r="CN710" s="24"/>
      <c r="CO710" s="24"/>
      <c r="CP710" s="24"/>
      <c r="CQ710" s="24"/>
      <c r="CR710" s="24"/>
      <c r="CS710" s="24"/>
      <c r="CT710" s="24"/>
      <c r="CU710" s="24"/>
    </row>
    <row r="711">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c r="CM711" s="24"/>
      <c r="CN711" s="24"/>
      <c r="CO711" s="24"/>
      <c r="CP711" s="24"/>
      <c r="CQ711" s="24"/>
      <c r="CR711" s="24"/>
      <c r="CS711" s="24"/>
      <c r="CT711" s="24"/>
      <c r="CU711" s="24"/>
    </row>
    <row r="712">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c r="BQ712" s="24"/>
      <c r="BR712" s="24"/>
      <c r="BS712" s="24"/>
      <c r="BT712" s="24"/>
      <c r="BU712" s="24"/>
      <c r="BV712" s="24"/>
      <c r="BW712" s="24"/>
      <c r="BX712" s="24"/>
      <c r="BY712" s="24"/>
      <c r="BZ712" s="24"/>
      <c r="CA712" s="24"/>
      <c r="CB712" s="24"/>
      <c r="CC712" s="24"/>
      <c r="CD712" s="24"/>
      <c r="CE712" s="24"/>
      <c r="CF712" s="24"/>
      <c r="CG712" s="24"/>
      <c r="CH712" s="24"/>
      <c r="CI712" s="24"/>
      <c r="CJ712" s="24"/>
      <c r="CK712" s="24"/>
      <c r="CL712" s="24"/>
      <c r="CM712" s="24"/>
      <c r="CN712" s="24"/>
      <c r="CO712" s="24"/>
      <c r="CP712" s="24"/>
      <c r="CQ712" s="24"/>
      <c r="CR712" s="24"/>
      <c r="CS712" s="24"/>
      <c r="CT712" s="24"/>
      <c r="CU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c r="BT713" s="24"/>
      <c r="BU713" s="24"/>
      <c r="BV713" s="24"/>
      <c r="BW713" s="24"/>
      <c r="BX713" s="24"/>
      <c r="BY713" s="24"/>
      <c r="BZ713" s="24"/>
      <c r="CA713" s="24"/>
      <c r="CB713" s="24"/>
      <c r="CC713" s="24"/>
      <c r="CD713" s="24"/>
      <c r="CE713" s="24"/>
      <c r="CF713" s="24"/>
      <c r="CG713" s="24"/>
      <c r="CH713" s="24"/>
      <c r="CI713" s="24"/>
      <c r="CJ713" s="24"/>
      <c r="CK713" s="24"/>
      <c r="CL713" s="24"/>
      <c r="CM713" s="24"/>
      <c r="CN713" s="24"/>
      <c r="CO713" s="24"/>
      <c r="CP713" s="24"/>
      <c r="CQ713" s="24"/>
      <c r="CR713" s="24"/>
      <c r="CS713" s="24"/>
      <c r="CT713" s="24"/>
      <c r="CU713" s="24"/>
    </row>
    <row r="71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c r="BQ714" s="24"/>
      <c r="BR714" s="24"/>
      <c r="BS714" s="24"/>
      <c r="BT714" s="24"/>
      <c r="BU714" s="24"/>
      <c r="BV714" s="24"/>
      <c r="BW714" s="24"/>
      <c r="BX714" s="24"/>
      <c r="BY714" s="24"/>
      <c r="BZ714" s="24"/>
      <c r="CA714" s="24"/>
      <c r="CB714" s="24"/>
      <c r="CC714" s="24"/>
      <c r="CD714" s="24"/>
      <c r="CE714" s="24"/>
      <c r="CF714" s="24"/>
      <c r="CG714" s="24"/>
      <c r="CH714" s="24"/>
      <c r="CI714" s="24"/>
      <c r="CJ714" s="24"/>
      <c r="CK714" s="24"/>
      <c r="CL714" s="24"/>
      <c r="CM714" s="24"/>
      <c r="CN714" s="24"/>
      <c r="CO714" s="24"/>
      <c r="CP714" s="24"/>
      <c r="CQ714" s="24"/>
      <c r="CR714" s="24"/>
      <c r="CS714" s="24"/>
      <c r="CT714" s="24"/>
      <c r="CU714" s="24"/>
    </row>
    <row r="715">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c r="CM715" s="24"/>
      <c r="CN715" s="24"/>
      <c r="CO715" s="24"/>
      <c r="CP715" s="24"/>
      <c r="CQ715" s="24"/>
      <c r="CR715" s="24"/>
      <c r="CS715" s="24"/>
      <c r="CT715" s="24"/>
      <c r="CU715" s="24"/>
    </row>
    <row r="716">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c r="BQ716" s="24"/>
      <c r="BR716" s="24"/>
      <c r="BS716" s="24"/>
      <c r="BT716" s="24"/>
      <c r="BU716" s="24"/>
      <c r="BV716" s="24"/>
      <c r="BW716" s="24"/>
      <c r="BX716" s="24"/>
      <c r="BY716" s="24"/>
      <c r="BZ716" s="24"/>
      <c r="CA716" s="24"/>
      <c r="CB716" s="24"/>
      <c r="CC716" s="24"/>
      <c r="CD716" s="24"/>
      <c r="CE716" s="24"/>
      <c r="CF716" s="24"/>
      <c r="CG716" s="24"/>
      <c r="CH716" s="24"/>
      <c r="CI716" s="24"/>
      <c r="CJ716" s="24"/>
      <c r="CK716" s="24"/>
      <c r="CL716" s="24"/>
      <c r="CM716" s="24"/>
      <c r="CN716" s="24"/>
      <c r="CO716" s="24"/>
      <c r="CP716" s="24"/>
      <c r="CQ716" s="24"/>
      <c r="CR716" s="24"/>
      <c r="CS716" s="24"/>
      <c r="CT716" s="24"/>
      <c r="CU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c r="BT717" s="24"/>
      <c r="BU717" s="24"/>
      <c r="BV717" s="24"/>
      <c r="BW717" s="24"/>
      <c r="BX717" s="24"/>
      <c r="BY717" s="24"/>
      <c r="BZ717" s="24"/>
      <c r="CA717" s="24"/>
      <c r="CB717" s="24"/>
      <c r="CC717" s="24"/>
      <c r="CD717" s="24"/>
      <c r="CE717" s="24"/>
      <c r="CF717" s="24"/>
      <c r="CG717" s="24"/>
      <c r="CH717" s="24"/>
      <c r="CI717" s="24"/>
      <c r="CJ717" s="24"/>
      <c r="CK717" s="24"/>
      <c r="CL717" s="24"/>
      <c r="CM717" s="24"/>
      <c r="CN717" s="24"/>
      <c r="CO717" s="24"/>
      <c r="CP717" s="24"/>
      <c r="CQ717" s="24"/>
      <c r="CR717" s="24"/>
      <c r="CS717" s="24"/>
      <c r="CT717" s="24"/>
      <c r="CU717" s="24"/>
    </row>
    <row r="718">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c r="BQ718" s="24"/>
      <c r="BR718" s="24"/>
      <c r="BS718" s="24"/>
      <c r="BT718" s="24"/>
      <c r="BU718" s="24"/>
      <c r="BV718" s="24"/>
      <c r="BW718" s="24"/>
      <c r="BX718" s="24"/>
      <c r="BY718" s="24"/>
      <c r="BZ718" s="24"/>
      <c r="CA718" s="24"/>
      <c r="CB718" s="24"/>
      <c r="CC718" s="24"/>
      <c r="CD718" s="24"/>
      <c r="CE718" s="24"/>
      <c r="CF718" s="24"/>
      <c r="CG718" s="24"/>
      <c r="CH718" s="24"/>
      <c r="CI718" s="24"/>
      <c r="CJ718" s="24"/>
      <c r="CK718" s="24"/>
      <c r="CL718" s="24"/>
      <c r="CM718" s="24"/>
      <c r="CN718" s="24"/>
      <c r="CO718" s="24"/>
      <c r="CP718" s="24"/>
      <c r="CQ718" s="24"/>
      <c r="CR718" s="24"/>
      <c r="CS718" s="24"/>
      <c r="CT718" s="24"/>
      <c r="CU718" s="24"/>
    </row>
    <row r="719">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c r="CM719" s="24"/>
      <c r="CN719" s="24"/>
      <c r="CO719" s="24"/>
      <c r="CP719" s="24"/>
      <c r="CQ719" s="24"/>
      <c r="CR719" s="24"/>
      <c r="CS719" s="24"/>
      <c r="CT719" s="24"/>
      <c r="CU719" s="24"/>
    </row>
    <row r="720">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c r="BQ720" s="24"/>
      <c r="BR720" s="24"/>
      <c r="BS720" s="24"/>
      <c r="BT720" s="24"/>
      <c r="BU720" s="24"/>
      <c r="BV720" s="24"/>
      <c r="BW720" s="24"/>
      <c r="BX720" s="24"/>
      <c r="BY720" s="24"/>
      <c r="BZ720" s="24"/>
      <c r="CA720" s="24"/>
      <c r="CB720" s="24"/>
      <c r="CC720" s="24"/>
      <c r="CD720" s="24"/>
      <c r="CE720" s="24"/>
      <c r="CF720" s="24"/>
      <c r="CG720" s="24"/>
      <c r="CH720" s="24"/>
      <c r="CI720" s="24"/>
      <c r="CJ720" s="24"/>
      <c r="CK720" s="24"/>
      <c r="CL720" s="24"/>
      <c r="CM720" s="24"/>
      <c r="CN720" s="24"/>
      <c r="CO720" s="24"/>
      <c r="CP720" s="24"/>
      <c r="CQ720" s="24"/>
      <c r="CR720" s="24"/>
      <c r="CS720" s="24"/>
      <c r="CT720" s="24"/>
      <c r="CU720" s="24"/>
    </row>
    <row r="721">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c r="BT721" s="24"/>
      <c r="BU721" s="24"/>
      <c r="BV721" s="24"/>
      <c r="BW721" s="24"/>
      <c r="BX721" s="24"/>
      <c r="BY721" s="24"/>
      <c r="BZ721" s="24"/>
      <c r="CA721" s="24"/>
      <c r="CB721" s="24"/>
      <c r="CC721" s="24"/>
      <c r="CD721" s="24"/>
      <c r="CE721" s="24"/>
      <c r="CF721" s="24"/>
      <c r="CG721" s="24"/>
      <c r="CH721" s="24"/>
      <c r="CI721" s="24"/>
      <c r="CJ721" s="24"/>
      <c r="CK721" s="24"/>
      <c r="CL721" s="24"/>
      <c r="CM721" s="24"/>
      <c r="CN721" s="24"/>
      <c r="CO721" s="24"/>
      <c r="CP721" s="24"/>
      <c r="CQ721" s="24"/>
      <c r="CR721" s="24"/>
      <c r="CS721" s="24"/>
      <c r="CT721" s="24"/>
      <c r="CU721" s="24"/>
    </row>
    <row r="722">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c r="BR722" s="24"/>
      <c r="BS722" s="24"/>
      <c r="BT722" s="24"/>
      <c r="BU722" s="24"/>
      <c r="BV722" s="24"/>
      <c r="BW722" s="24"/>
      <c r="BX722" s="24"/>
      <c r="BY722" s="24"/>
      <c r="BZ722" s="24"/>
      <c r="CA722" s="24"/>
      <c r="CB722" s="24"/>
      <c r="CC722" s="24"/>
      <c r="CD722" s="24"/>
      <c r="CE722" s="24"/>
      <c r="CF722" s="24"/>
      <c r="CG722" s="24"/>
      <c r="CH722" s="24"/>
      <c r="CI722" s="24"/>
      <c r="CJ722" s="24"/>
      <c r="CK722" s="24"/>
      <c r="CL722" s="24"/>
      <c r="CM722" s="24"/>
      <c r="CN722" s="24"/>
      <c r="CO722" s="24"/>
      <c r="CP722" s="24"/>
      <c r="CQ722" s="24"/>
      <c r="CR722" s="24"/>
      <c r="CS722" s="24"/>
      <c r="CT722" s="24"/>
      <c r="CU722" s="24"/>
    </row>
    <row r="723">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c r="CM723" s="24"/>
      <c r="CN723" s="24"/>
      <c r="CO723" s="24"/>
      <c r="CP723" s="24"/>
      <c r="CQ723" s="24"/>
      <c r="CR723" s="24"/>
      <c r="CS723" s="24"/>
      <c r="CT723" s="24"/>
      <c r="CU723" s="24"/>
    </row>
    <row r="7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c r="BQ724" s="24"/>
      <c r="BR724" s="24"/>
      <c r="BS724" s="24"/>
      <c r="BT724" s="24"/>
      <c r="BU724" s="24"/>
      <c r="BV724" s="24"/>
      <c r="BW724" s="24"/>
      <c r="BX724" s="24"/>
      <c r="BY724" s="24"/>
      <c r="BZ724" s="24"/>
      <c r="CA724" s="24"/>
      <c r="CB724" s="24"/>
      <c r="CC724" s="24"/>
      <c r="CD724" s="24"/>
      <c r="CE724" s="24"/>
      <c r="CF724" s="24"/>
      <c r="CG724" s="24"/>
      <c r="CH724" s="24"/>
      <c r="CI724" s="24"/>
      <c r="CJ724" s="24"/>
      <c r="CK724" s="24"/>
      <c r="CL724" s="24"/>
      <c r="CM724" s="24"/>
      <c r="CN724" s="24"/>
      <c r="CO724" s="24"/>
      <c r="CP724" s="24"/>
      <c r="CQ724" s="24"/>
      <c r="CR724" s="24"/>
      <c r="CS724" s="24"/>
      <c r="CT724" s="24"/>
      <c r="CU724" s="24"/>
    </row>
    <row r="725">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c r="BT725" s="24"/>
      <c r="BU725" s="24"/>
      <c r="BV725" s="24"/>
      <c r="BW725" s="24"/>
      <c r="BX725" s="24"/>
      <c r="BY725" s="24"/>
      <c r="BZ725" s="24"/>
      <c r="CA725" s="24"/>
      <c r="CB725" s="24"/>
      <c r="CC725" s="24"/>
      <c r="CD725" s="24"/>
      <c r="CE725" s="24"/>
      <c r="CF725" s="24"/>
      <c r="CG725" s="24"/>
      <c r="CH725" s="24"/>
      <c r="CI725" s="24"/>
      <c r="CJ725" s="24"/>
      <c r="CK725" s="24"/>
      <c r="CL725" s="24"/>
      <c r="CM725" s="24"/>
      <c r="CN725" s="24"/>
      <c r="CO725" s="24"/>
      <c r="CP725" s="24"/>
      <c r="CQ725" s="24"/>
      <c r="CR725" s="24"/>
      <c r="CS725" s="24"/>
      <c r="CT725" s="24"/>
      <c r="CU725" s="24"/>
    </row>
    <row r="726">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c r="BQ726" s="24"/>
      <c r="BR726" s="24"/>
      <c r="BS726" s="24"/>
      <c r="BT726" s="24"/>
      <c r="BU726" s="24"/>
      <c r="BV726" s="24"/>
      <c r="BW726" s="24"/>
      <c r="BX726" s="24"/>
      <c r="BY726" s="24"/>
      <c r="BZ726" s="24"/>
      <c r="CA726" s="24"/>
      <c r="CB726" s="24"/>
      <c r="CC726" s="24"/>
      <c r="CD726" s="24"/>
      <c r="CE726" s="24"/>
      <c r="CF726" s="24"/>
      <c r="CG726" s="24"/>
      <c r="CH726" s="24"/>
      <c r="CI726" s="24"/>
      <c r="CJ726" s="24"/>
      <c r="CK726" s="24"/>
      <c r="CL726" s="24"/>
      <c r="CM726" s="24"/>
      <c r="CN726" s="24"/>
      <c r="CO726" s="24"/>
      <c r="CP726" s="24"/>
      <c r="CQ726" s="24"/>
      <c r="CR726" s="24"/>
      <c r="CS726" s="24"/>
      <c r="CT726" s="24"/>
      <c r="CU726" s="24"/>
    </row>
    <row r="727">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c r="BT727" s="24"/>
      <c r="BU727" s="24"/>
      <c r="BV727" s="24"/>
      <c r="BW727" s="24"/>
      <c r="BX727" s="24"/>
      <c r="BY727" s="24"/>
      <c r="BZ727" s="24"/>
      <c r="CA727" s="24"/>
      <c r="CB727" s="24"/>
      <c r="CC727" s="24"/>
      <c r="CD727" s="24"/>
      <c r="CE727" s="24"/>
      <c r="CF727" s="24"/>
      <c r="CG727" s="24"/>
      <c r="CH727" s="24"/>
      <c r="CI727" s="24"/>
      <c r="CJ727" s="24"/>
      <c r="CK727" s="24"/>
      <c r="CL727" s="24"/>
      <c r="CM727" s="24"/>
      <c r="CN727" s="24"/>
      <c r="CO727" s="24"/>
      <c r="CP727" s="24"/>
      <c r="CQ727" s="24"/>
      <c r="CR727" s="24"/>
      <c r="CS727" s="24"/>
      <c r="CT727" s="24"/>
      <c r="CU727" s="24"/>
    </row>
    <row r="728">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c r="BQ728" s="24"/>
      <c r="BR728" s="24"/>
      <c r="BS728" s="24"/>
      <c r="BT728" s="24"/>
      <c r="BU728" s="24"/>
      <c r="BV728" s="24"/>
      <c r="BW728" s="24"/>
      <c r="BX728" s="24"/>
      <c r="BY728" s="24"/>
      <c r="BZ728" s="24"/>
      <c r="CA728" s="24"/>
      <c r="CB728" s="24"/>
      <c r="CC728" s="24"/>
      <c r="CD728" s="24"/>
      <c r="CE728" s="24"/>
      <c r="CF728" s="24"/>
      <c r="CG728" s="24"/>
      <c r="CH728" s="24"/>
      <c r="CI728" s="24"/>
      <c r="CJ728" s="24"/>
      <c r="CK728" s="24"/>
      <c r="CL728" s="24"/>
      <c r="CM728" s="24"/>
      <c r="CN728" s="24"/>
      <c r="CO728" s="24"/>
      <c r="CP728" s="24"/>
      <c r="CQ728" s="24"/>
      <c r="CR728" s="24"/>
      <c r="CS728" s="24"/>
      <c r="CT728" s="24"/>
      <c r="CU728" s="24"/>
    </row>
    <row r="729">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c r="CM729" s="24"/>
      <c r="CN729" s="24"/>
      <c r="CO729" s="24"/>
      <c r="CP729" s="24"/>
      <c r="CQ729" s="24"/>
      <c r="CR729" s="24"/>
      <c r="CS729" s="24"/>
      <c r="CT729" s="24"/>
      <c r="CU729" s="24"/>
    </row>
    <row r="730">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c r="BR730" s="24"/>
      <c r="BS730" s="24"/>
      <c r="BT730" s="24"/>
      <c r="BU730" s="24"/>
      <c r="BV730" s="24"/>
      <c r="BW730" s="24"/>
      <c r="BX730" s="24"/>
      <c r="BY730" s="24"/>
      <c r="BZ730" s="24"/>
      <c r="CA730" s="24"/>
      <c r="CB730" s="24"/>
      <c r="CC730" s="24"/>
      <c r="CD730" s="24"/>
      <c r="CE730" s="24"/>
      <c r="CF730" s="24"/>
      <c r="CG730" s="24"/>
      <c r="CH730" s="24"/>
      <c r="CI730" s="24"/>
      <c r="CJ730" s="24"/>
      <c r="CK730" s="24"/>
      <c r="CL730" s="24"/>
      <c r="CM730" s="24"/>
      <c r="CN730" s="24"/>
      <c r="CO730" s="24"/>
      <c r="CP730" s="24"/>
      <c r="CQ730" s="24"/>
      <c r="CR730" s="24"/>
      <c r="CS730" s="24"/>
      <c r="CT730" s="24"/>
      <c r="CU730" s="24"/>
    </row>
    <row r="731">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c r="CM731" s="24"/>
      <c r="CN731" s="24"/>
      <c r="CO731" s="24"/>
      <c r="CP731" s="24"/>
      <c r="CQ731" s="24"/>
      <c r="CR731" s="24"/>
      <c r="CS731" s="24"/>
      <c r="CT731" s="24"/>
      <c r="CU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c r="BQ732" s="24"/>
      <c r="BR732" s="24"/>
      <c r="BS732" s="24"/>
      <c r="BT732" s="24"/>
      <c r="BU732" s="24"/>
      <c r="BV732" s="24"/>
      <c r="BW732" s="24"/>
      <c r="BX732" s="24"/>
      <c r="BY732" s="24"/>
      <c r="BZ732" s="24"/>
      <c r="CA732" s="24"/>
      <c r="CB732" s="24"/>
      <c r="CC732" s="24"/>
      <c r="CD732" s="24"/>
      <c r="CE732" s="24"/>
      <c r="CF732" s="24"/>
      <c r="CG732" s="24"/>
      <c r="CH732" s="24"/>
      <c r="CI732" s="24"/>
      <c r="CJ732" s="24"/>
      <c r="CK732" s="24"/>
      <c r="CL732" s="24"/>
      <c r="CM732" s="24"/>
      <c r="CN732" s="24"/>
      <c r="CO732" s="24"/>
      <c r="CP732" s="24"/>
      <c r="CQ732" s="24"/>
      <c r="CR732" s="24"/>
      <c r="CS732" s="24"/>
      <c r="CT732" s="24"/>
      <c r="CU732" s="24"/>
    </row>
    <row r="733">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c r="BT733" s="24"/>
      <c r="BU733" s="24"/>
      <c r="BV733" s="24"/>
      <c r="BW733" s="24"/>
      <c r="BX733" s="24"/>
      <c r="BY733" s="24"/>
      <c r="BZ733" s="24"/>
      <c r="CA733" s="24"/>
      <c r="CB733" s="24"/>
      <c r="CC733" s="24"/>
      <c r="CD733" s="24"/>
      <c r="CE733" s="24"/>
      <c r="CF733" s="24"/>
      <c r="CG733" s="24"/>
      <c r="CH733" s="24"/>
      <c r="CI733" s="24"/>
      <c r="CJ733" s="24"/>
      <c r="CK733" s="24"/>
      <c r="CL733" s="24"/>
      <c r="CM733" s="24"/>
      <c r="CN733" s="24"/>
      <c r="CO733" s="24"/>
      <c r="CP733" s="24"/>
      <c r="CQ733" s="24"/>
      <c r="CR733" s="24"/>
      <c r="CS733" s="24"/>
      <c r="CT733" s="24"/>
      <c r="CU733" s="24"/>
    </row>
    <row r="73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c r="BQ734" s="24"/>
      <c r="BR734" s="24"/>
      <c r="BS734" s="24"/>
      <c r="BT734" s="24"/>
      <c r="BU734" s="24"/>
      <c r="BV734" s="24"/>
      <c r="BW734" s="24"/>
      <c r="BX734" s="24"/>
      <c r="BY734" s="24"/>
      <c r="BZ734" s="24"/>
      <c r="CA734" s="24"/>
      <c r="CB734" s="24"/>
      <c r="CC734" s="24"/>
      <c r="CD734" s="24"/>
      <c r="CE734" s="24"/>
      <c r="CF734" s="24"/>
      <c r="CG734" s="24"/>
      <c r="CH734" s="24"/>
      <c r="CI734" s="24"/>
      <c r="CJ734" s="24"/>
      <c r="CK734" s="24"/>
      <c r="CL734" s="24"/>
      <c r="CM734" s="24"/>
      <c r="CN734" s="24"/>
      <c r="CO734" s="24"/>
      <c r="CP734" s="24"/>
      <c r="CQ734" s="24"/>
      <c r="CR734" s="24"/>
      <c r="CS734" s="24"/>
      <c r="CT734" s="24"/>
      <c r="CU734" s="24"/>
    </row>
    <row r="735">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c r="BT735" s="24"/>
      <c r="BU735" s="24"/>
      <c r="BV735" s="24"/>
      <c r="BW735" s="24"/>
      <c r="BX735" s="24"/>
      <c r="BY735" s="24"/>
      <c r="BZ735" s="24"/>
      <c r="CA735" s="24"/>
      <c r="CB735" s="24"/>
      <c r="CC735" s="24"/>
      <c r="CD735" s="24"/>
      <c r="CE735" s="24"/>
      <c r="CF735" s="24"/>
      <c r="CG735" s="24"/>
      <c r="CH735" s="24"/>
      <c r="CI735" s="24"/>
      <c r="CJ735" s="24"/>
      <c r="CK735" s="24"/>
      <c r="CL735" s="24"/>
      <c r="CM735" s="24"/>
      <c r="CN735" s="24"/>
      <c r="CO735" s="24"/>
      <c r="CP735" s="24"/>
      <c r="CQ735" s="24"/>
      <c r="CR735" s="24"/>
      <c r="CS735" s="24"/>
      <c r="CT735" s="24"/>
      <c r="CU735" s="24"/>
    </row>
    <row r="736">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c r="BR736" s="24"/>
      <c r="BS736" s="24"/>
      <c r="BT736" s="24"/>
      <c r="BU736" s="24"/>
      <c r="BV736" s="24"/>
      <c r="BW736" s="24"/>
      <c r="BX736" s="24"/>
      <c r="BY736" s="24"/>
      <c r="BZ736" s="24"/>
      <c r="CA736" s="24"/>
      <c r="CB736" s="24"/>
      <c r="CC736" s="24"/>
      <c r="CD736" s="24"/>
      <c r="CE736" s="24"/>
      <c r="CF736" s="24"/>
      <c r="CG736" s="24"/>
      <c r="CH736" s="24"/>
      <c r="CI736" s="24"/>
      <c r="CJ736" s="24"/>
      <c r="CK736" s="24"/>
      <c r="CL736" s="24"/>
      <c r="CM736" s="24"/>
      <c r="CN736" s="24"/>
      <c r="CO736" s="24"/>
      <c r="CP736" s="24"/>
      <c r="CQ736" s="24"/>
      <c r="CR736" s="24"/>
      <c r="CS736" s="24"/>
      <c r="CT736" s="24"/>
      <c r="CU736" s="24"/>
    </row>
    <row r="737">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c r="CM737" s="24"/>
      <c r="CN737" s="24"/>
      <c r="CO737" s="24"/>
      <c r="CP737" s="24"/>
      <c r="CQ737" s="24"/>
      <c r="CR737" s="24"/>
      <c r="CS737" s="24"/>
      <c r="CT737" s="24"/>
      <c r="CU737" s="24"/>
    </row>
    <row r="738">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c r="BR738" s="24"/>
      <c r="BS738" s="24"/>
      <c r="BT738" s="24"/>
      <c r="BU738" s="24"/>
      <c r="BV738" s="24"/>
      <c r="BW738" s="24"/>
      <c r="BX738" s="24"/>
      <c r="BY738" s="24"/>
      <c r="BZ738" s="24"/>
      <c r="CA738" s="24"/>
      <c r="CB738" s="24"/>
      <c r="CC738" s="24"/>
      <c r="CD738" s="24"/>
      <c r="CE738" s="24"/>
      <c r="CF738" s="24"/>
      <c r="CG738" s="24"/>
      <c r="CH738" s="24"/>
      <c r="CI738" s="24"/>
      <c r="CJ738" s="24"/>
      <c r="CK738" s="24"/>
      <c r="CL738" s="24"/>
      <c r="CM738" s="24"/>
      <c r="CN738" s="24"/>
      <c r="CO738" s="24"/>
      <c r="CP738" s="24"/>
      <c r="CQ738" s="24"/>
      <c r="CR738" s="24"/>
      <c r="CS738" s="24"/>
      <c r="CT738" s="24"/>
      <c r="CU738" s="24"/>
    </row>
    <row r="739">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c r="CR739" s="24"/>
      <c r="CS739" s="24"/>
      <c r="CT739" s="24"/>
      <c r="CU739" s="24"/>
    </row>
    <row r="740">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c r="BR740" s="24"/>
      <c r="BS740" s="24"/>
      <c r="BT740" s="24"/>
      <c r="BU740" s="24"/>
      <c r="BV740" s="24"/>
      <c r="BW740" s="24"/>
      <c r="BX740" s="24"/>
      <c r="BY740" s="24"/>
      <c r="BZ740" s="24"/>
      <c r="CA740" s="24"/>
      <c r="CB740" s="24"/>
      <c r="CC740" s="24"/>
      <c r="CD740" s="24"/>
      <c r="CE740" s="24"/>
      <c r="CF740" s="24"/>
      <c r="CG740" s="24"/>
      <c r="CH740" s="24"/>
      <c r="CI740" s="24"/>
      <c r="CJ740" s="24"/>
      <c r="CK740" s="24"/>
      <c r="CL740" s="24"/>
      <c r="CM740" s="24"/>
      <c r="CN740" s="24"/>
      <c r="CO740" s="24"/>
      <c r="CP740" s="24"/>
      <c r="CQ740" s="24"/>
      <c r="CR740" s="24"/>
      <c r="CS740" s="24"/>
      <c r="CT740" s="24"/>
      <c r="CU740" s="24"/>
    </row>
    <row r="741">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c r="BT741" s="24"/>
      <c r="BU741" s="24"/>
      <c r="BV741" s="24"/>
      <c r="BW741" s="24"/>
      <c r="BX741" s="24"/>
      <c r="BY741" s="24"/>
      <c r="BZ741" s="24"/>
      <c r="CA741" s="24"/>
      <c r="CB741" s="24"/>
      <c r="CC741" s="24"/>
      <c r="CD741" s="24"/>
      <c r="CE741" s="24"/>
      <c r="CF741" s="24"/>
      <c r="CG741" s="24"/>
      <c r="CH741" s="24"/>
      <c r="CI741" s="24"/>
      <c r="CJ741" s="24"/>
      <c r="CK741" s="24"/>
      <c r="CL741" s="24"/>
      <c r="CM741" s="24"/>
      <c r="CN741" s="24"/>
      <c r="CO741" s="24"/>
      <c r="CP741" s="24"/>
      <c r="CQ741" s="24"/>
      <c r="CR741" s="24"/>
      <c r="CS741" s="24"/>
      <c r="CT741" s="24"/>
      <c r="CU741" s="24"/>
    </row>
    <row r="742">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c r="BQ742" s="24"/>
      <c r="BR742" s="24"/>
      <c r="BS742" s="24"/>
      <c r="BT742" s="24"/>
      <c r="BU742" s="24"/>
      <c r="BV742" s="24"/>
      <c r="BW742" s="24"/>
      <c r="BX742" s="24"/>
      <c r="BY742" s="24"/>
      <c r="BZ742" s="24"/>
      <c r="CA742" s="24"/>
      <c r="CB742" s="24"/>
      <c r="CC742" s="24"/>
      <c r="CD742" s="24"/>
      <c r="CE742" s="24"/>
      <c r="CF742" s="24"/>
      <c r="CG742" s="24"/>
      <c r="CH742" s="24"/>
      <c r="CI742" s="24"/>
      <c r="CJ742" s="24"/>
      <c r="CK742" s="24"/>
      <c r="CL742" s="24"/>
      <c r="CM742" s="24"/>
      <c r="CN742" s="24"/>
      <c r="CO742" s="24"/>
      <c r="CP742" s="24"/>
      <c r="CQ742" s="24"/>
      <c r="CR742" s="24"/>
      <c r="CS742" s="24"/>
      <c r="CT742" s="24"/>
      <c r="CU742" s="24"/>
    </row>
    <row r="743">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c r="BT743" s="24"/>
      <c r="BU743" s="24"/>
      <c r="BV743" s="24"/>
      <c r="BW743" s="24"/>
      <c r="BX743" s="24"/>
      <c r="BY743" s="24"/>
      <c r="BZ743" s="24"/>
      <c r="CA743" s="24"/>
      <c r="CB743" s="24"/>
      <c r="CC743" s="24"/>
      <c r="CD743" s="24"/>
      <c r="CE743" s="24"/>
      <c r="CF743" s="24"/>
      <c r="CG743" s="24"/>
      <c r="CH743" s="24"/>
      <c r="CI743" s="24"/>
      <c r="CJ743" s="24"/>
      <c r="CK743" s="24"/>
      <c r="CL743" s="24"/>
      <c r="CM743" s="24"/>
      <c r="CN743" s="24"/>
      <c r="CO743" s="24"/>
      <c r="CP743" s="24"/>
      <c r="CQ743" s="24"/>
      <c r="CR743" s="24"/>
      <c r="CS743" s="24"/>
      <c r="CT743" s="24"/>
      <c r="CU743" s="24"/>
    </row>
    <row r="74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c r="BR744" s="24"/>
      <c r="BS744" s="24"/>
      <c r="BT744" s="24"/>
      <c r="BU744" s="24"/>
      <c r="BV744" s="24"/>
      <c r="BW744" s="24"/>
      <c r="BX744" s="24"/>
      <c r="BY744" s="24"/>
      <c r="BZ744" s="24"/>
      <c r="CA744" s="24"/>
      <c r="CB744" s="24"/>
      <c r="CC744" s="24"/>
      <c r="CD744" s="24"/>
      <c r="CE744" s="24"/>
      <c r="CF744" s="24"/>
      <c r="CG744" s="24"/>
      <c r="CH744" s="24"/>
      <c r="CI744" s="24"/>
      <c r="CJ744" s="24"/>
      <c r="CK744" s="24"/>
      <c r="CL744" s="24"/>
      <c r="CM744" s="24"/>
      <c r="CN744" s="24"/>
      <c r="CO744" s="24"/>
      <c r="CP744" s="24"/>
      <c r="CQ744" s="24"/>
      <c r="CR744" s="24"/>
      <c r="CS744" s="24"/>
      <c r="CT744" s="24"/>
      <c r="CU744" s="24"/>
    </row>
    <row r="745">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c r="BT745" s="24"/>
      <c r="BU745" s="24"/>
      <c r="BV745" s="24"/>
      <c r="BW745" s="24"/>
      <c r="BX745" s="24"/>
      <c r="BY745" s="24"/>
      <c r="BZ745" s="24"/>
      <c r="CA745" s="24"/>
      <c r="CB745" s="24"/>
      <c r="CC745" s="24"/>
      <c r="CD745" s="24"/>
      <c r="CE745" s="24"/>
      <c r="CF745" s="24"/>
      <c r="CG745" s="24"/>
      <c r="CH745" s="24"/>
      <c r="CI745" s="24"/>
      <c r="CJ745" s="24"/>
      <c r="CK745" s="24"/>
      <c r="CL745" s="24"/>
      <c r="CM745" s="24"/>
      <c r="CN745" s="24"/>
      <c r="CO745" s="24"/>
      <c r="CP745" s="24"/>
      <c r="CQ745" s="24"/>
      <c r="CR745" s="24"/>
      <c r="CS745" s="24"/>
      <c r="CT745" s="24"/>
      <c r="CU745" s="24"/>
    </row>
    <row r="746">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c r="BQ746" s="24"/>
      <c r="BR746" s="24"/>
      <c r="BS746" s="24"/>
      <c r="BT746" s="24"/>
      <c r="BU746" s="24"/>
      <c r="BV746" s="24"/>
      <c r="BW746" s="24"/>
      <c r="BX746" s="24"/>
      <c r="BY746" s="24"/>
      <c r="BZ746" s="24"/>
      <c r="CA746" s="24"/>
      <c r="CB746" s="24"/>
      <c r="CC746" s="24"/>
      <c r="CD746" s="24"/>
      <c r="CE746" s="24"/>
      <c r="CF746" s="24"/>
      <c r="CG746" s="24"/>
      <c r="CH746" s="24"/>
      <c r="CI746" s="24"/>
      <c r="CJ746" s="24"/>
      <c r="CK746" s="24"/>
      <c r="CL746" s="24"/>
      <c r="CM746" s="24"/>
      <c r="CN746" s="24"/>
      <c r="CO746" s="24"/>
      <c r="CP746" s="24"/>
      <c r="CQ746" s="24"/>
      <c r="CR746" s="24"/>
      <c r="CS746" s="24"/>
      <c r="CT746" s="24"/>
      <c r="CU746" s="24"/>
    </row>
    <row r="747">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c r="BT747" s="24"/>
      <c r="BU747" s="24"/>
      <c r="BV747" s="24"/>
      <c r="BW747" s="24"/>
      <c r="BX747" s="24"/>
      <c r="BY747" s="24"/>
      <c r="BZ747" s="24"/>
      <c r="CA747" s="24"/>
      <c r="CB747" s="24"/>
      <c r="CC747" s="24"/>
      <c r="CD747" s="24"/>
      <c r="CE747" s="24"/>
      <c r="CF747" s="24"/>
      <c r="CG747" s="24"/>
      <c r="CH747" s="24"/>
      <c r="CI747" s="24"/>
      <c r="CJ747" s="24"/>
      <c r="CK747" s="24"/>
      <c r="CL747" s="24"/>
      <c r="CM747" s="24"/>
      <c r="CN747" s="24"/>
      <c r="CO747" s="24"/>
      <c r="CP747" s="24"/>
      <c r="CQ747" s="24"/>
      <c r="CR747" s="24"/>
      <c r="CS747" s="24"/>
      <c r="CT747" s="24"/>
      <c r="CU747" s="24"/>
    </row>
    <row r="748">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c r="BQ748" s="24"/>
      <c r="BR748" s="24"/>
      <c r="BS748" s="24"/>
      <c r="BT748" s="24"/>
      <c r="BU748" s="24"/>
      <c r="BV748" s="24"/>
      <c r="BW748" s="24"/>
      <c r="BX748" s="24"/>
      <c r="BY748" s="24"/>
      <c r="BZ748" s="24"/>
      <c r="CA748" s="24"/>
      <c r="CB748" s="24"/>
      <c r="CC748" s="24"/>
      <c r="CD748" s="24"/>
      <c r="CE748" s="24"/>
      <c r="CF748" s="24"/>
      <c r="CG748" s="24"/>
      <c r="CH748" s="24"/>
      <c r="CI748" s="24"/>
      <c r="CJ748" s="24"/>
      <c r="CK748" s="24"/>
      <c r="CL748" s="24"/>
      <c r="CM748" s="24"/>
      <c r="CN748" s="24"/>
      <c r="CO748" s="24"/>
      <c r="CP748" s="24"/>
      <c r="CQ748" s="24"/>
      <c r="CR748" s="24"/>
      <c r="CS748" s="24"/>
      <c r="CT748" s="24"/>
      <c r="CU748" s="24"/>
    </row>
    <row r="749">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c r="BT749" s="24"/>
      <c r="BU749" s="24"/>
      <c r="BV749" s="24"/>
      <c r="BW749" s="24"/>
      <c r="BX749" s="24"/>
      <c r="BY749" s="24"/>
      <c r="BZ749" s="24"/>
      <c r="CA749" s="24"/>
      <c r="CB749" s="24"/>
      <c r="CC749" s="24"/>
      <c r="CD749" s="24"/>
      <c r="CE749" s="24"/>
      <c r="CF749" s="24"/>
      <c r="CG749" s="24"/>
      <c r="CH749" s="24"/>
      <c r="CI749" s="24"/>
      <c r="CJ749" s="24"/>
      <c r="CK749" s="24"/>
      <c r="CL749" s="24"/>
      <c r="CM749" s="24"/>
      <c r="CN749" s="24"/>
      <c r="CO749" s="24"/>
      <c r="CP749" s="24"/>
      <c r="CQ749" s="24"/>
      <c r="CR749" s="24"/>
      <c r="CS749" s="24"/>
      <c r="CT749" s="24"/>
      <c r="CU749" s="24"/>
    </row>
    <row r="750">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c r="BQ750" s="24"/>
      <c r="BR750" s="24"/>
      <c r="BS750" s="24"/>
      <c r="BT750" s="24"/>
      <c r="BU750" s="24"/>
      <c r="BV750" s="24"/>
      <c r="BW750" s="24"/>
      <c r="BX750" s="24"/>
      <c r="BY750" s="24"/>
      <c r="BZ750" s="24"/>
      <c r="CA750" s="24"/>
      <c r="CB750" s="24"/>
      <c r="CC750" s="24"/>
      <c r="CD750" s="24"/>
      <c r="CE750" s="24"/>
      <c r="CF750" s="24"/>
      <c r="CG750" s="24"/>
      <c r="CH750" s="24"/>
      <c r="CI750" s="24"/>
      <c r="CJ750" s="24"/>
      <c r="CK750" s="24"/>
      <c r="CL750" s="24"/>
      <c r="CM750" s="24"/>
      <c r="CN750" s="24"/>
      <c r="CO750" s="24"/>
      <c r="CP750" s="24"/>
      <c r="CQ750" s="24"/>
      <c r="CR750" s="24"/>
      <c r="CS750" s="24"/>
      <c r="CT750" s="24"/>
      <c r="CU750" s="24"/>
    </row>
    <row r="751">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c r="BT751" s="24"/>
      <c r="BU751" s="24"/>
      <c r="BV751" s="24"/>
      <c r="BW751" s="24"/>
      <c r="BX751" s="24"/>
      <c r="BY751" s="24"/>
      <c r="BZ751" s="24"/>
      <c r="CA751" s="24"/>
      <c r="CB751" s="24"/>
      <c r="CC751" s="24"/>
      <c r="CD751" s="24"/>
      <c r="CE751" s="24"/>
      <c r="CF751" s="24"/>
      <c r="CG751" s="24"/>
      <c r="CH751" s="24"/>
      <c r="CI751" s="24"/>
      <c r="CJ751" s="24"/>
      <c r="CK751" s="24"/>
      <c r="CL751" s="24"/>
      <c r="CM751" s="24"/>
      <c r="CN751" s="24"/>
      <c r="CO751" s="24"/>
      <c r="CP751" s="24"/>
      <c r="CQ751" s="24"/>
      <c r="CR751" s="24"/>
      <c r="CS751" s="24"/>
      <c r="CT751" s="24"/>
      <c r="CU751" s="24"/>
    </row>
    <row r="752">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c r="BQ752" s="24"/>
      <c r="BR752" s="24"/>
      <c r="BS752" s="24"/>
      <c r="BT752" s="24"/>
      <c r="BU752" s="24"/>
      <c r="BV752" s="24"/>
      <c r="BW752" s="24"/>
      <c r="BX752" s="24"/>
      <c r="BY752" s="24"/>
      <c r="BZ752" s="24"/>
      <c r="CA752" s="24"/>
      <c r="CB752" s="24"/>
      <c r="CC752" s="24"/>
      <c r="CD752" s="24"/>
      <c r="CE752" s="24"/>
      <c r="CF752" s="24"/>
      <c r="CG752" s="24"/>
      <c r="CH752" s="24"/>
      <c r="CI752" s="24"/>
      <c r="CJ752" s="24"/>
      <c r="CK752" s="24"/>
      <c r="CL752" s="24"/>
      <c r="CM752" s="24"/>
      <c r="CN752" s="24"/>
      <c r="CO752" s="24"/>
      <c r="CP752" s="24"/>
      <c r="CQ752" s="24"/>
      <c r="CR752" s="24"/>
      <c r="CS752" s="24"/>
      <c r="CT752" s="24"/>
      <c r="CU752" s="24"/>
    </row>
    <row r="753">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c r="BT753" s="24"/>
      <c r="BU753" s="24"/>
      <c r="BV753" s="24"/>
      <c r="BW753" s="24"/>
      <c r="BX753" s="24"/>
      <c r="BY753" s="24"/>
      <c r="BZ753" s="24"/>
      <c r="CA753" s="24"/>
      <c r="CB753" s="24"/>
      <c r="CC753" s="24"/>
      <c r="CD753" s="24"/>
      <c r="CE753" s="24"/>
      <c r="CF753" s="24"/>
      <c r="CG753" s="24"/>
      <c r="CH753" s="24"/>
      <c r="CI753" s="24"/>
      <c r="CJ753" s="24"/>
      <c r="CK753" s="24"/>
      <c r="CL753" s="24"/>
      <c r="CM753" s="24"/>
      <c r="CN753" s="24"/>
      <c r="CO753" s="24"/>
      <c r="CP753" s="24"/>
      <c r="CQ753" s="24"/>
      <c r="CR753" s="24"/>
      <c r="CS753" s="24"/>
      <c r="CT753" s="24"/>
      <c r="CU753" s="24"/>
    </row>
    <row r="75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c r="BQ754" s="24"/>
      <c r="BR754" s="24"/>
      <c r="BS754" s="24"/>
      <c r="BT754" s="24"/>
      <c r="BU754" s="24"/>
      <c r="BV754" s="24"/>
      <c r="BW754" s="24"/>
      <c r="BX754" s="24"/>
      <c r="BY754" s="24"/>
      <c r="BZ754" s="24"/>
      <c r="CA754" s="24"/>
      <c r="CB754" s="24"/>
      <c r="CC754" s="24"/>
      <c r="CD754" s="24"/>
      <c r="CE754" s="24"/>
      <c r="CF754" s="24"/>
      <c r="CG754" s="24"/>
      <c r="CH754" s="24"/>
      <c r="CI754" s="24"/>
      <c r="CJ754" s="24"/>
      <c r="CK754" s="24"/>
      <c r="CL754" s="24"/>
      <c r="CM754" s="24"/>
      <c r="CN754" s="24"/>
      <c r="CO754" s="24"/>
      <c r="CP754" s="24"/>
      <c r="CQ754" s="24"/>
      <c r="CR754" s="24"/>
      <c r="CS754" s="24"/>
      <c r="CT754" s="24"/>
      <c r="CU754" s="24"/>
    </row>
    <row r="755">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c r="BT755" s="24"/>
      <c r="BU755" s="24"/>
      <c r="BV755" s="24"/>
      <c r="BW755" s="24"/>
      <c r="BX755" s="24"/>
      <c r="BY755" s="24"/>
      <c r="BZ755" s="24"/>
      <c r="CA755" s="24"/>
      <c r="CB755" s="24"/>
      <c r="CC755" s="24"/>
      <c r="CD755" s="24"/>
      <c r="CE755" s="24"/>
      <c r="CF755" s="24"/>
      <c r="CG755" s="24"/>
      <c r="CH755" s="24"/>
      <c r="CI755" s="24"/>
      <c r="CJ755" s="24"/>
      <c r="CK755" s="24"/>
      <c r="CL755" s="24"/>
      <c r="CM755" s="24"/>
      <c r="CN755" s="24"/>
      <c r="CO755" s="24"/>
      <c r="CP755" s="24"/>
      <c r="CQ755" s="24"/>
      <c r="CR755" s="24"/>
      <c r="CS755" s="24"/>
      <c r="CT755" s="24"/>
      <c r="CU755" s="24"/>
    </row>
    <row r="756">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c r="BQ756" s="24"/>
      <c r="BR756" s="24"/>
      <c r="BS756" s="24"/>
      <c r="BT756" s="24"/>
      <c r="BU756" s="24"/>
      <c r="BV756" s="24"/>
      <c r="BW756" s="24"/>
      <c r="BX756" s="24"/>
      <c r="BY756" s="24"/>
      <c r="BZ756" s="24"/>
      <c r="CA756" s="24"/>
      <c r="CB756" s="24"/>
      <c r="CC756" s="24"/>
      <c r="CD756" s="24"/>
      <c r="CE756" s="24"/>
      <c r="CF756" s="24"/>
      <c r="CG756" s="24"/>
      <c r="CH756" s="24"/>
      <c r="CI756" s="24"/>
      <c r="CJ756" s="24"/>
      <c r="CK756" s="24"/>
      <c r="CL756" s="24"/>
      <c r="CM756" s="24"/>
      <c r="CN756" s="24"/>
      <c r="CO756" s="24"/>
      <c r="CP756" s="24"/>
      <c r="CQ756" s="24"/>
      <c r="CR756" s="24"/>
      <c r="CS756" s="24"/>
      <c r="CT756" s="24"/>
      <c r="CU756" s="24"/>
    </row>
    <row r="757">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c r="BT757" s="24"/>
      <c r="BU757" s="24"/>
      <c r="BV757" s="24"/>
      <c r="BW757" s="24"/>
      <c r="BX757" s="24"/>
      <c r="BY757" s="24"/>
      <c r="BZ757" s="24"/>
      <c r="CA757" s="24"/>
      <c r="CB757" s="24"/>
      <c r="CC757" s="24"/>
      <c r="CD757" s="24"/>
      <c r="CE757" s="24"/>
      <c r="CF757" s="24"/>
      <c r="CG757" s="24"/>
      <c r="CH757" s="24"/>
      <c r="CI757" s="24"/>
      <c r="CJ757" s="24"/>
      <c r="CK757" s="24"/>
      <c r="CL757" s="24"/>
      <c r="CM757" s="24"/>
      <c r="CN757" s="24"/>
      <c r="CO757" s="24"/>
      <c r="CP757" s="24"/>
      <c r="CQ757" s="24"/>
      <c r="CR757" s="24"/>
      <c r="CS757" s="24"/>
      <c r="CT757" s="24"/>
      <c r="CU757" s="24"/>
    </row>
    <row r="758">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c r="BQ758" s="24"/>
      <c r="BR758" s="24"/>
      <c r="BS758" s="24"/>
      <c r="BT758" s="24"/>
      <c r="BU758" s="24"/>
      <c r="BV758" s="24"/>
      <c r="BW758" s="24"/>
      <c r="BX758" s="24"/>
      <c r="BY758" s="24"/>
      <c r="BZ758" s="24"/>
      <c r="CA758" s="24"/>
      <c r="CB758" s="24"/>
      <c r="CC758" s="24"/>
      <c r="CD758" s="24"/>
      <c r="CE758" s="24"/>
      <c r="CF758" s="24"/>
      <c r="CG758" s="24"/>
      <c r="CH758" s="24"/>
      <c r="CI758" s="24"/>
      <c r="CJ758" s="24"/>
      <c r="CK758" s="24"/>
      <c r="CL758" s="24"/>
      <c r="CM758" s="24"/>
      <c r="CN758" s="24"/>
      <c r="CO758" s="24"/>
      <c r="CP758" s="24"/>
      <c r="CQ758" s="24"/>
      <c r="CR758" s="24"/>
      <c r="CS758" s="24"/>
      <c r="CT758" s="24"/>
      <c r="CU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c r="CM759" s="24"/>
      <c r="CN759" s="24"/>
      <c r="CO759" s="24"/>
      <c r="CP759" s="24"/>
      <c r="CQ759" s="24"/>
      <c r="CR759" s="24"/>
      <c r="CS759" s="24"/>
      <c r="CT759" s="24"/>
      <c r="CU759" s="24"/>
    </row>
    <row r="760">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c r="BQ760" s="24"/>
      <c r="BR760" s="24"/>
      <c r="BS760" s="24"/>
      <c r="BT760" s="24"/>
      <c r="BU760" s="24"/>
      <c r="BV760" s="24"/>
      <c r="BW760" s="24"/>
      <c r="BX760" s="24"/>
      <c r="BY760" s="24"/>
      <c r="BZ760" s="24"/>
      <c r="CA760" s="24"/>
      <c r="CB760" s="24"/>
      <c r="CC760" s="24"/>
      <c r="CD760" s="24"/>
      <c r="CE760" s="24"/>
      <c r="CF760" s="24"/>
      <c r="CG760" s="24"/>
      <c r="CH760" s="24"/>
      <c r="CI760" s="24"/>
      <c r="CJ760" s="24"/>
      <c r="CK760" s="24"/>
      <c r="CL760" s="24"/>
      <c r="CM760" s="24"/>
      <c r="CN760" s="24"/>
      <c r="CO760" s="24"/>
      <c r="CP760" s="24"/>
      <c r="CQ760" s="24"/>
      <c r="CR760" s="24"/>
      <c r="CS760" s="24"/>
      <c r="CT760" s="24"/>
      <c r="CU760" s="24"/>
    </row>
    <row r="761">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c r="CM761" s="24"/>
      <c r="CN761" s="24"/>
      <c r="CO761" s="24"/>
      <c r="CP761" s="24"/>
      <c r="CQ761" s="24"/>
      <c r="CR761" s="24"/>
      <c r="CS761" s="24"/>
      <c r="CT761" s="24"/>
      <c r="CU761" s="24"/>
    </row>
    <row r="762">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c r="BQ762" s="24"/>
      <c r="BR762" s="24"/>
      <c r="BS762" s="24"/>
      <c r="BT762" s="24"/>
      <c r="BU762" s="24"/>
      <c r="BV762" s="24"/>
      <c r="BW762" s="24"/>
      <c r="BX762" s="24"/>
      <c r="BY762" s="24"/>
      <c r="BZ762" s="24"/>
      <c r="CA762" s="24"/>
      <c r="CB762" s="24"/>
      <c r="CC762" s="24"/>
      <c r="CD762" s="24"/>
      <c r="CE762" s="24"/>
      <c r="CF762" s="24"/>
      <c r="CG762" s="24"/>
      <c r="CH762" s="24"/>
      <c r="CI762" s="24"/>
      <c r="CJ762" s="24"/>
      <c r="CK762" s="24"/>
      <c r="CL762" s="24"/>
      <c r="CM762" s="24"/>
      <c r="CN762" s="24"/>
      <c r="CO762" s="24"/>
      <c r="CP762" s="24"/>
      <c r="CQ762" s="24"/>
      <c r="CR762" s="24"/>
      <c r="CS762" s="24"/>
      <c r="CT762" s="24"/>
      <c r="CU762" s="24"/>
    </row>
    <row r="763">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c r="BT763" s="24"/>
      <c r="BU763" s="24"/>
      <c r="BV763" s="24"/>
      <c r="BW763" s="24"/>
      <c r="BX763" s="24"/>
      <c r="BY763" s="24"/>
      <c r="BZ763" s="24"/>
      <c r="CA763" s="24"/>
      <c r="CB763" s="24"/>
      <c r="CC763" s="24"/>
      <c r="CD763" s="24"/>
      <c r="CE763" s="24"/>
      <c r="CF763" s="24"/>
      <c r="CG763" s="24"/>
      <c r="CH763" s="24"/>
      <c r="CI763" s="24"/>
      <c r="CJ763" s="24"/>
      <c r="CK763" s="24"/>
      <c r="CL763" s="24"/>
      <c r="CM763" s="24"/>
      <c r="CN763" s="24"/>
      <c r="CO763" s="24"/>
      <c r="CP763" s="24"/>
      <c r="CQ763" s="24"/>
      <c r="CR763" s="24"/>
      <c r="CS763" s="24"/>
      <c r="CT763" s="24"/>
      <c r="CU763" s="24"/>
    </row>
    <row r="76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c r="BQ764" s="24"/>
      <c r="BR764" s="24"/>
      <c r="BS764" s="24"/>
      <c r="BT764" s="24"/>
      <c r="BU764" s="24"/>
      <c r="BV764" s="24"/>
      <c r="BW764" s="24"/>
      <c r="BX764" s="24"/>
      <c r="BY764" s="24"/>
      <c r="BZ764" s="24"/>
      <c r="CA764" s="24"/>
      <c r="CB764" s="24"/>
      <c r="CC764" s="24"/>
      <c r="CD764" s="24"/>
      <c r="CE764" s="24"/>
      <c r="CF764" s="24"/>
      <c r="CG764" s="24"/>
      <c r="CH764" s="24"/>
      <c r="CI764" s="24"/>
      <c r="CJ764" s="24"/>
      <c r="CK764" s="24"/>
      <c r="CL764" s="24"/>
      <c r="CM764" s="24"/>
      <c r="CN764" s="24"/>
      <c r="CO764" s="24"/>
      <c r="CP764" s="24"/>
      <c r="CQ764" s="24"/>
      <c r="CR764" s="24"/>
      <c r="CS764" s="24"/>
      <c r="CT764" s="24"/>
      <c r="CU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c r="CM765" s="24"/>
      <c r="CN765" s="24"/>
      <c r="CO765" s="24"/>
      <c r="CP765" s="24"/>
      <c r="CQ765" s="24"/>
      <c r="CR765" s="24"/>
      <c r="CS765" s="24"/>
      <c r="CT765" s="24"/>
      <c r="CU765" s="24"/>
    </row>
    <row r="766">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c r="BQ766" s="24"/>
      <c r="BR766" s="24"/>
      <c r="BS766" s="24"/>
      <c r="BT766" s="24"/>
      <c r="BU766" s="24"/>
      <c r="BV766" s="24"/>
      <c r="BW766" s="24"/>
      <c r="BX766" s="24"/>
      <c r="BY766" s="24"/>
      <c r="BZ766" s="24"/>
      <c r="CA766" s="24"/>
      <c r="CB766" s="24"/>
      <c r="CC766" s="24"/>
      <c r="CD766" s="24"/>
      <c r="CE766" s="24"/>
      <c r="CF766" s="24"/>
      <c r="CG766" s="24"/>
      <c r="CH766" s="24"/>
      <c r="CI766" s="24"/>
      <c r="CJ766" s="24"/>
      <c r="CK766" s="24"/>
      <c r="CL766" s="24"/>
      <c r="CM766" s="24"/>
      <c r="CN766" s="24"/>
      <c r="CO766" s="24"/>
      <c r="CP766" s="24"/>
      <c r="CQ766" s="24"/>
      <c r="CR766" s="24"/>
      <c r="CS766" s="24"/>
      <c r="CT766" s="24"/>
      <c r="CU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c r="BT767" s="24"/>
      <c r="BU767" s="24"/>
      <c r="BV767" s="24"/>
      <c r="BW767" s="24"/>
      <c r="BX767" s="24"/>
      <c r="BY767" s="24"/>
      <c r="BZ767" s="24"/>
      <c r="CA767" s="24"/>
      <c r="CB767" s="24"/>
      <c r="CC767" s="24"/>
      <c r="CD767" s="24"/>
      <c r="CE767" s="24"/>
      <c r="CF767" s="24"/>
      <c r="CG767" s="24"/>
      <c r="CH767" s="24"/>
      <c r="CI767" s="24"/>
      <c r="CJ767" s="24"/>
      <c r="CK767" s="24"/>
      <c r="CL767" s="24"/>
      <c r="CM767" s="24"/>
      <c r="CN767" s="24"/>
      <c r="CO767" s="24"/>
      <c r="CP767" s="24"/>
      <c r="CQ767" s="24"/>
      <c r="CR767" s="24"/>
      <c r="CS767" s="24"/>
      <c r="CT767" s="24"/>
      <c r="CU767" s="24"/>
    </row>
    <row r="768">
      <c r="A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c r="BQ768" s="24"/>
      <c r="BR768" s="24"/>
      <c r="BS768" s="24"/>
      <c r="BT768" s="24"/>
      <c r="BU768" s="24"/>
      <c r="BV768" s="24"/>
      <c r="BW768" s="24"/>
      <c r="BX768" s="24"/>
      <c r="BY768" s="24"/>
      <c r="BZ768" s="24"/>
      <c r="CA768" s="24"/>
      <c r="CB768" s="24"/>
      <c r="CC768" s="24"/>
      <c r="CD768" s="24"/>
      <c r="CE768" s="24"/>
      <c r="CF768" s="24"/>
      <c r="CG768" s="24"/>
      <c r="CH768" s="24"/>
      <c r="CI768" s="24"/>
      <c r="CJ768" s="24"/>
      <c r="CK768" s="24"/>
      <c r="CL768" s="24"/>
      <c r="CM768" s="24"/>
      <c r="CN768" s="24"/>
      <c r="CO768" s="24"/>
      <c r="CP768" s="24"/>
      <c r="CQ768" s="24"/>
      <c r="CR768" s="24"/>
      <c r="CS768" s="24"/>
      <c r="CT768" s="24"/>
      <c r="CU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c r="BT769" s="24"/>
      <c r="BU769" s="24"/>
      <c r="BV769" s="24"/>
      <c r="BW769" s="24"/>
      <c r="BX769" s="24"/>
      <c r="BY769" s="24"/>
      <c r="BZ769" s="24"/>
      <c r="CA769" s="24"/>
      <c r="CB769" s="24"/>
      <c r="CC769" s="24"/>
      <c r="CD769" s="24"/>
      <c r="CE769" s="24"/>
      <c r="CF769" s="24"/>
      <c r="CG769" s="24"/>
      <c r="CH769" s="24"/>
      <c r="CI769" s="24"/>
      <c r="CJ769" s="24"/>
      <c r="CK769" s="24"/>
      <c r="CL769" s="24"/>
      <c r="CM769" s="24"/>
      <c r="CN769" s="24"/>
      <c r="CO769" s="24"/>
      <c r="CP769" s="24"/>
      <c r="CQ769" s="24"/>
      <c r="CR769" s="24"/>
      <c r="CS769" s="24"/>
      <c r="CT769" s="24"/>
      <c r="CU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c r="BQ770" s="24"/>
      <c r="BR770" s="24"/>
      <c r="BS770" s="24"/>
      <c r="BT770" s="24"/>
      <c r="BU770" s="24"/>
      <c r="BV770" s="24"/>
      <c r="BW770" s="24"/>
      <c r="BX770" s="24"/>
      <c r="BY770" s="24"/>
      <c r="BZ770" s="24"/>
      <c r="CA770" s="24"/>
      <c r="CB770" s="24"/>
      <c r="CC770" s="24"/>
      <c r="CD770" s="24"/>
      <c r="CE770" s="24"/>
      <c r="CF770" s="24"/>
      <c r="CG770" s="24"/>
      <c r="CH770" s="24"/>
      <c r="CI770" s="24"/>
      <c r="CJ770" s="24"/>
      <c r="CK770" s="24"/>
      <c r="CL770" s="24"/>
      <c r="CM770" s="24"/>
      <c r="CN770" s="24"/>
      <c r="CO770" s="24"/>
      <c r="CP770" s="24"/>
      <c r="CQ770" s="24"/>
      <c r="CR770" s="24"/>
      <c r="CS770" s="24"/>
      <c r="CT770" s="24"/>
      <c r="CU770" s="24"/>
    </row>
    <row r="771">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c r="BT771" s="24"/>
      <c r="BU771" s="24"/>
      <c r="BV771" s="24"/>
      <c r="BW771" s="24"/>
      <c r="BX771" s="24"/>
      <c r="BY771" s="24"/>
      <c r="BZ771" s="24"/>
      <c r="CA771" s="24"/>
      <c r="CB771" s="24"/>
      <c r="CC771" s="24"/>
      <c r="CD771" s="24"/>
      <c r="CE771" s="24"/>
      <c r="CF771" s="24"/>
      <c r="CG771" s="24"/>
      <c r="CH771" s="24"/>
      <c r="CI771" s="24"/>
      <c r="CJ771" s="24"/>
      <c r="CK771" s="24"/>
      <c r="CL771" s="24"/>
      <c r="CM771" s="24"/>
      <c r="CN771" s="24"/>
      <c r="CO771" s="24"/>
      <c r="CP771" s="24"/>
      <c r="CQ771" s="24"/>
      <c r="CR771" s="24"/>
      <c r="CS771" s="24"/>
      <c r="CT771" s="24"/>
      <c r="CU771" s="24"/>
    </row>
    <row r="772">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c r="BQ772" s="24"/>
      <c r="BR772" s="24"/>
      <c r="BS772" s="24"/>
      <c r="BT772" s="24"/>
      <c r="BU772" s="24"/>
      <c r="BV772" s="24"/>
      <c r="BW772" s="24"/>
      <c r="BX772" s="24"/>
      <c r="BY772" s="24"/>
      <c r="BZ772" s="24"/>
      <c r="CA772" s="24"/>
      <c r="CB772" s="24"/>
      <c r="CC772" s="24"/>
      <c r="CD772" s="24"/>
      <c r="CE772" s="24"/>
      <c r="CF772" s="24"/>
      <c r="CG772" s="24"/>
      <c r="CH772" s="24"/>
      <c r="CI772" s="24"/>
      <c r="CJ772" s="24"/>
      <c r="CK772" s="24"/>
      <c r="CL772" s="24"/>
      <c r="CM772" s="24"/>
      <c r="CN772" s="24"/>
      <c r="CO772" s="24"/>
      <c r="CP772" s="24"/>
      <c r="CQ772" s="24"/>
      <c r="CR772" s="24"/>
      <c r="CS772" s="24"/>
      <c r="CT772" s="24"/>
      <c r="CU772" s="24"/>
    </row>
    <row r="773">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c r="BT773" s="24"/>
      <c r="BU773" s="24"/>
      <c r="BV773" s="24"/>
      <c r="BW773" s="24"/>
      <c r="BX773" s="24"/>
      <c r="BY773" s="24"/>
      <c r="BZ773" s="24"/>
      <c r="CA773" s="24"/>
      <c r="CB773" s="24"/>
      <c r="CC773" s="24"/>
      <c r="CD773" s="24"/>
      <c r="CE773" s="24"/>
      <c r="CF773" s="24"/>
      <c r="CG773" s="24"/>
      <c r="CH773" s="24"/>
      <c r="CI773" s="24"/>
      <c r="CJ773" s="24"/>
      <c r="CK773" s="24"/>
      <c r="CL773" s="24"/>
      <c r="CM773" s="24"/>
      <c r="CN773" s="24"/>
      <c r="CO773" s="24"/>
      <c r="CP773" s="24"/>
      <c r="CQ773" s="24"/>
      <c r="CR773" s="24"/>
      <c r="CS773" s="24"/>
      <c r="CT773" s="24"/>
      <c r="CU773" s="24"/>
    </row>
    <row r="77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c r="BQ774" s="24"/>
      <c r="BR774" s="24"/>
      <c r="BS774" s="24"/>
      <c r="BT774" s="24"/>
      <c r="BU774" s="24"/>
      <c r="BV774" s="24"/>
      <c r="BW774" s="24"/>
      <c r="BX774" s="24"/>
      <c r="BY774" s="24"/>
      <c r="BZ774" s="24"/>
      <c r="CA774" s="24"/>
      <c r="CB774" s="24"/>
      <c r="CC774" s="24"/>
      <c r="CD774" s="24"/>
      <c r="CE774" s="24"/>
      <c r="CF774" s="24"/>
      <c r="CG774" s="24"/>
      <c r="CH774" s="24"/>
      <c r="CI774" s="24"/>
      <c r="CJ774" s="24"/>
      <c r="CK774" s="24"/>
      <c r="CL774" s="24"/>
      <c r="CM774" s="24"/>
      <c r="CN774" s="24"/>
      <c r="CO774" s="24"/>
      <c r="CP774" s="24"/>
      <c r="CQ774" s="24"/>
      <c r="CR774" s="24"/>
      <c r="CS774" s="24"/>
      <c r="CT774" s="24"/>
      <c r="CU774" s="24"/>
    </row>
    <row r="775">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c r="BX775" s="24"/>
      <c r="BY775" s="24"/>
      <c r="BZ775" s="24"/>
      <c r="CA775" s="24"/>
      <c r="CB775" s="24"/>
      <c r="CC775" s="24"/>
      <c r="CD775" s="24"/>
      <c r="CE775" s="24"/>
      <c r="CF775" s="24"/>
      <c r="CG775" s="24"/>
      <c r="CH775" s="24"/>
      <c r="CI775" s="24"/>
      <c r="CJ775" s="24"/>
      <c r="CK775" s="24"/>
      <c r="CL775" s="24"/>
      <c r="CM775" s="24"/>
      <c r="CN775" s="24"/>
      <c r="CO775" s="24"/>
      <c r="CP775" s="24"/>
      <c r="CQ775" s="24"/>
      <c r="CR775" s="24"/>
      <c r="CS775" s="24"/>
      <c r="CT775" s="24"/>
      <c r="CU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c r="BQ776" s="24"/>
      <c r="BR776" s="24"/>
      <c r="BS776" s="24"/>
      <c r="BT776" s="24"/>
      <c r="BU776" s="24"/>
      <c r="BV776" s="24"/>
      <c r="BW776" s="24"/>
      <c r="BX776" s="24"/>
      <c r="BY776" s="24"/>
      <c r="BZ776" s="24"/>
      <c r="CA776" s="24"/>
      <c r="CB776" s="24"/>
      <c r="CC776" s="24"/>
      <c r="CD776" s="24"/>
      <c r="CE776" s="24"/>
      <c r="CF776" s="24"/>
      <c r="CG776" s="24"/>
      <c r="CH776" s="24"/>
      <c r="CI776" s="24"/>
      <c r="CJ776" s="24"/>
      <c r="CK776" s="24"/>
      <c r="CL776" s="24"/>
      <c r="CM776" s="24"/>
      <c r="CN776" s="24"/>
      <c r="CO776" s="24"/>
      <c r="CP776" s="24"/>
      <c r="CQ776" s="24"/>
      <c r="CR776" s="24"/>
      <c r="CS776" s="24"/>
      <c r="CT776" s="24"/>
      <c r="CU776" s="24"/>
    </row>
    <row r="777">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c r="BT777" s="24"/>
      <c r="BU777" s="24"/>
      <c r="BV777" s="24"/>
      <c r="BW777" s="24"/>
      <c r="BX777" s="24"/>
      <c r="BY777" s="24"/>
      <c r="BZ777" s="24"/>
      <c r="CA777" s="24"/>
      <c r="CB777" s="24"/>
      <c r="CC777" s="24"/>
      <c r="CD777" s="24"/>
      <c r="CE777" s="24"/>
      <c r="CF777" s="24"/>
      <c r="CG777" s="24"/>
      <c r="CH777" s="24"/>
      <c r="CI777" s="24"/>
      <c r="CJ777" s="24"/>
      <c r="CK777" s="24"/>
      <c r="CL777" s="24"/>
      <c r="CM777" s="24"/>
      <c r="CN777" s="24"/>
      <c r="CO777" s="24"/>
      <c r="CP777" s="24"/>
      <c r="CQ777" s="24"/>
      <c r="CR777" s="24"/>
      <c r="CS777" s="24"/>
      <c r="CT777" s="24"/>
      <c r="CU777" s="24"/>
    </row>
    <row r="778">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c r="BQ778" s="24"/>
      <c r="BR778" s="24"/>
      <c r="BS778" s="24"/>
      <c r="BT778" s="24"/>
      <c r="BU778" s="24"/>
      <c r="BV778" s="24"/>
      <c r="BW778" s="24"/>
      <c r="BX778" s="24"/>
      <c r="BY778" s="24"/>
      <c r="BZ778" s="24"/>
      <c r="CA778" s="24"/>
      <c r="CB778" s="24"/>
      <c r="CC778" s="24"/>
      <c r="CD778" s="24"/>
      <c r="CE778" s="24"/>
      <c r="CF778" s="24"/>
      <c r="CG778" s="24"/>
      <c r="CH778" s="24"/>
      <c r="CI778" s="24"/>
      <c r="CJ778" s="24"/>
      <c r="CK778" s="24"/>
      <c r="CL778" s="24"/>
      <c r="CM778" s="24"/>
      <c r="CN778" s="24"/>
      <c r="CO778" s="24"/>
      <c r="CP778" s="24"/>
      <c r="CQ778" s="24"/>
      <c r="CR778" s="24"/>
      <c r="CS778" s="24"/>
      <c r="CT778" s="24"/>
      <c r="CU778" s="24"/>
    </row>
    <row r="779">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c r="BT779" s="24"/>
      <c r="BU779" s="24"/>
      <c r="BV779" s="24"/>
      <c r="BW779" s="24"/>
      <c r="BX779" s="24"/>
      <c r="BY779" s="24"/>
      <c r="BZ779" s="24"/>
      <c r="CA779" s="24"/>
      <c r="CB779" s="24"/>
      <c r="CC779" s="24"/>
      <c r="CD779" s="24"/>
      <c r="CE779" s="24"/>
      <c r="CF779" s="24"/>
      <c r="CG779" s="24"/>
      <c r="CH779" s="24"/>
      <c r="CI779" s="24"/>
      <c r="CJ779" s="24"/>
      <c r="CK779" s="24"/>
      <c r="CL779" s="24"/>
      <c r="CM779" s="24"/>
      <c r="CN779" s="24"/>
      <c r="CO779" s="24"/>
      <c r="CP779" s="24"/>
      <c r="CQ779" s="24"/>
      <c r="CR779" s="24"/>
      <c r="CS779" s="24"/>
      <c r="CT779" s="24"/>
      <c r="CU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c r="BQ780" s="24"/>
      <c r="BR780" s="24"/>
      <c r="BS780" s="24"/>
      <c r="BT780" s="24"/>
      <c r="BU780" s="24"/>
      <c r="BV780" s="24"/>
      <c r="BW780" s="24"/>
      <c r="BX780" s="24"/>
      <c r="BY780" s="24"/>
      <c r="BZ780" s="24"/>
      <c r="CA780" s="24"/>
      <c r="CB780" s="24"/>
      <c r="CC780" s="24"/>
      <c r="CD780" s="24"/>
      <c r="CE780" s="24"/>
      <c r="CF780" s="24"/>
      <c r="CG780" s="24"/>
      <c r="CH780" s="24"/>
      <c r="CI780" s="24"/>
      <c r="CJ780" s="24"/>
      <c r="CK780" s="24"/>
      <c r="CL780" s="24"/>
      <c r="CM780" s="24"/>
      <c r="CN780" s="24"/>
      <c r="CO780" s="24"/>
      <c r="CP780" s="24"/>
      <c r="CQ780" s="24"/>
      <c r="CR780" s="24"/>
      <c r="CS780" s="24"/>
      <c r="CT780" s="24"/>
      <c r="CU780" s="24"/>
    </row>
    <row r="781">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c r="BT781" s="24"/>
      <c r="BU781" s="24"/>
      <c r="BV781" s="24"/>
      <c r="BW781" s="24"/>
      <c r="BX781" s="24"/>
      <c r="BY781" s="24"/>
      <c r="BZ781" s="24"/>
      <c r="CA781" s="24"/>
      <c r="CB781" s="24"/>
      <c r="CC781" s="24"/>
      <c r="CD781" s="24"/>
      <c r="CE781" s="24"/>
      <c r="CF781" s="24"/>
      <c r="CG781" s="24"/>
      <c r="CH781" s="24"/>
      <c r="CI781" s="24"/>
      <c r="CJ781" s="24"/>
      <c r="CK781" s="24"/>
      <c r="CL781" s="24"/>
      <c r="CM781" s="24"/>
      <c r="CN781" s="24"/>
      <c r="CO781" s="24"/>
      <c r="CP781" s="24"/>
      <c r="CQ781" s="24"/>
      <c r="CR781" s="24"/>
      <c r="CS781" s="24"/>
      <c r="CT781" s="24"/>
      <c r="CU781" s="24"/>
    </row>
    <row r="782">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c r="BQ782" s="24"/>
      <c r="BR782" s="24"/>
      <c r="BS782" s="24"/>
      <c r="BT782" s="24"/>
      <c r="BU782" s="24"/>
      <c r="BV782" s="24"/>
      <c r="BW782" s="24"/>
      <c r="BX782" s="24"/>
      <c r="BY782" s="24"/>
      <c r="BZ782" s="24"/>
      <c r="CA782" s="24"/>
      <c r="CB782" s="24"/>
      <c r="CC782" s="24"/>
      <c r="CD782" s="24"/>
      <c r="CE782" s="24"/>
      <c r="CF782" s="24"/>
      <c r="CG782" s="24"/>
      <c r="CH782" s="24"/>
      <c r="CI782" s="24"/>
      <c r="CJ782" s="24"/>
      <c r="CK782" s="24"/>
      <c r="CL782" s="24"/>
      <c r="CM782" s="24"/>
      <c r="CN782" s="24"/>
      <c r="CO782" s="24"/>
      <c r="CP782" s="24"/>
      <c r="CQ782" s="24"/>
      <c r="CR782" s="24"/>
      <c r="CS782" s="24"/>
      <c r="CT782" s="24"/>
      <c r="CU782" s="24"/>
    </row>
    <row r="783">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c r="BT783" s="24"/>
      <c r="BU783" s="24"/>
      <c r="BV783" s="24"/>
      <c r="BW783" s="24"/>
      <c r="BX783" s="24"/>
      <c r="BY783" s="24"/>
      <c r="BZ783" s="24"/>
      <c r="CA783" s="24"/>
      <c r="CB783" s="24"/>
      <c r="CC783" s="24"/>
      <c r="CD783" s="24"/>
      <c r="CE783" s="24"/>
      <c r="CF783" s="24"/>
      <c r="CG783" s="24"/>
      <c r="CH783" s="24"/>
      <c r="CI783" s="24"/>
      <c r="CJ783" s="24"/>
      <c r="CK783" s="24"/>
      <c r="CL783" s="24"/>
      <c r="CM783" s="24"/>
      <c r="CN783" s="24"/>
      <c r="CO783" s="24"/>
      <c r="CP783" s="24"/>
      <c r="CQ783" s="24"/>
      <c r="CR783" s="24"/>
      <c r="CS783" s="24"/>
      <c r="CT783" s="24"/>
      <c r="CU783" s="24"/>
    </row>
    <row r="78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c r="BQ784" s="24"/>
      <c r="BR784" s="24"/>
      <c r="BS784" s="24"/>
      <c r="BT784" s="24"/>
      <c r="BU784" s="24"/>
      <c r="BV784" s="24"/>
      <c r="BW784" s="24"/>
      <c r="BX784" s="24"/>
      <c r="BY784" s="24"/>
      <c r="BZ784" s="24"/>
      <c r="CA784" s="24"/>
      <c r="CB784" s="24"/>
      <c r="CC784" s="24"/>
      <c r="CD784" s="24"/>
      <c r="CE784" s="24"/>
      <c r="CF784" s="24"/>
      <c r="CG784" s="24"/>
      <c r="CH784" s="24"/>
      <c r="CI784" s="24"/>
      <c r="CJ784" s="24"/>
      <c r="CK784" s="24"/>
      <c r="CL784" s="24"/>
      <c r="CM784" s="24"/>
      <c r="CN784" s="24"/>
      <c r="CO784" s="24"/>
      <c r="CP784" s="24"/>
      <c r="CQ784" s="24"/>
      <c r="CR784" s="24"/>
      <c r="CS784" s="24"/>
      <c r="CT784" s="24"/>
      <c r="CU784" s="24"/>
    </row>
    <row r="785">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c r="BT785" s="24"/>
      <c r="BU785" s="24"/>
      <c r="BV785" s="24"/>
      <c r="BW785" s="24"/>
      <c r="BX785" s="24"/>
      <c r="BY785" s="24"/>
      <c r="BZ785" s="24"/>
      <c r="CA785" s="24"/>
      <c r="CB785" s="24"/>
      <c r="CC785" s="24"/>
      <c r="CD785" s="24"/>
      <c r="CE785" s="24"/>
      <c r="CF785" s="24"/>
      <c r="CG785" s="24"/>
      <c r="CH785" s="24"/>
      <c r="CI785" s="24"/>
      <c r="CJ785" s="24"/>
      <c r="CK785" s="24"/>
      <c r="CL785" s="24"/>
      <c r="CM785" s="24"/>
      <c r="CN785" s="24"/>
      <c r="CO785" s="24"/>
      <c r="CP785" s="24"/>
      <c r="CQ785" s="24"/>
      <c r="CR785" s="24"/>
      <c r="CS785" s="24"/>
      <c r="CT785" s="24"/>
      <c r="CU785" s="24"/>
    </row>
    <row r="786">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c r="BQ786" s="24"/>
      <c r="BR786" s="24"/>
      <c r="BS786" s="24"/>
      <c r="BT786" s="24"/>
      <c r="BU786" s="24"/>
      <c r="BV786" s="24"/>
      <c r="BW786" s="24"/>
      <c r="BX786" s="24"/>
      <c r="BY786" s="24"/>
      <c r="BZ786" s="24"/>
      <c r="CA786" s="24"/>
      <c r="CB786" s="24"/>
      <c r="CC786" s="24"/>
      <c r="CD786" s="24"/>
      <c r="CE786" s="24"/>
      <c r="CF786" s="24"/>
      <c r="CG786" s="24"/>
      <c r="CH786" s="24"/>
      <c r="CI786" s="24"/>
      <c r="CJ786" s="24"/>
      <c r="CK786" s="24"/>
      <c r="CL786" s="24"/>
      <c r="CM786" s="24"/>
      <c r="CN786" s="24"/>
      <c r="CO786" s="24"/>
      <c r="CP786" s="24"/>
      <c r="CQ786" s="24"/>
      <c r="CR786" s="24"/>
      <c r="CS786" s="24"/>
      <c r="CT786" s="24"/>
      <c r="CU786" s="24"/>
    </row>
    <row r="787">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c r="BT787" s="24"/>
      <c r="BU787" s="24"/>
      <c r="BV787" s="24"/>
      <c r="BW787" s="24"/>
      <c r="BX787" s="24"/>
      <c r="BY787" s="24"/>
      <c r="BZ787" s="24"/>
      <c r="CA787" s="24"/>
      <c r="CB787" s="24"/>
      <c r="CC787" s="24"/>
      <c r="CD787" s="24"/>
      <c r="CE787" s="24"/>
      <c r="CF787" s="24"/>
      <c r="CG787" s="24"/>
      <c r="CH787" s="24"/>
      <c r="CI787" s="24"/>
      <c r="CJ787" s="24"/>
      <c r="CK787" s="24"/>
      <c r="CL787" s="24"/>
      <c r="CM787" s="24"/>
      <c r="CN787" s="24"/>
      <c r="CO787" s="24"/>
      <c r="CP787" s="24"/>
      <c r="CQ787" s="24"/>
      <c r="CR787" s="24"/>
      <c r="CS787" s="24"/>
      <c r="CT787" s="24"/>
      <c r="CU787" s="24"/>
    </row>
    <row r="788">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c r="BQ788" s="24"/>
      <c r="BR788" s="24"/>
      <c r="BS788" s="24"/>
      <c r="BT788" s="24"/>
      <c r="BU788" s="24"/>
      <c r="BV788" s="24"/>
      <c r="BW788" s="24"/>
      <c r="BX788" s="24"/>
      <c r="BY788" s="24"/>
      <c r="BZ788" s="24"/>
      <c r="CA788" s="24"/>
      <c r="CB788" s="24"/>
      <c r="CC788" s="24"/>
      <c r="CD788" s="24"/>
      <c r="CE788" s="24"/>
      <c r="CF788" s="24"/>
      <c r="CG788" s="24"/>
      <c r="CH788" s="24"/>
      <c r="CI788" s="24"/>
      <c r="CJ788" s="24"/>
      <c r="CK788" s="24"/>
      <c r="CL788" s="24"/>
      <c r="CM788" s="24"/>
      <c r="CN788" s="24"/>
      <c r="CO788" s="24"/>
      <c r="CP788" s="24"/>
      <c r="CQ788" s="24"/>
      <c r="CR788" s="24"/>
      <c r="CS788" s="24"/>
      <c r="CT788" s="24"/>
      <c r="CU788" s="24"/>
    </row>
    <row r="789">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c r="BT789" s="24"/>
      <c r="BU789" s="24"/>
      <c r="BV789" s="24"/>
      <c r="BW789" s="24"/>
      <c r="BX789" s="24"/>
      <c r="BY789" s="24"/>
      <c r="BZ789" s="24"/>
      <c r="CA789" s="24"/>
      <c r="CB789" s="24"/>
      <c r="CC789" s="24"/>
      <c r="CD789" s="24"/>
      <c r="CE789" s="24"/>
      <c r="CF789" s="24"/>
      <c r="CG789" s="24"/>
      <c r="CH789" s="24"/>
      <c r="CI789" s="24"/>
      <c r="CJ789" s="24"/>
      <c r="CK789" s="24"/>
      <c r="CL789" s="24"/>
      <c r="CM789" s="24"/>
      <c r="CN789" s="24"/>
      <c r="CO789" s="24"/>
      <c r="CP789" s="24"/>
      <c r="CQ789" s="24"/>
      <c r="CR789" s="24"/>
      <c r="CS789" s="24"/>
      <c r="CT789" s="24"/>
      <c r="CU789" s="24"/>
    </row>
    <row r="790">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c r="BQ790" s="24"/>
      <c r="BR790" s="24"/>
      <c r="BS790" s="24"/>
      <c r="BT790" s="24"/>
      <c r="BU790" s="24"/>
      <c r="BV790" s="24"/>
      <c r="BW790" s="24"/>
      <c r="BX790" s="24"/>
      <c r="BY790" s="24"/>
      <c r="BZ790" s="24"/>
      <c r="CA790" s="24"/>
      <c r="CB790" s="24"/>
      <c r="CC790" s="24"/>
      <c r="CD790" s="24"/>
      <c r="CE790" s="24"/>
      <c r="CF790" s="24"/>
      <c r="CG790" s="24"/>
      <c r="CH790" s="24"/>
      <c r="CI790" s="24"/>
      <c r="CJ790" s="24"/>
      <c r="CK790" s="24"/>
      <c r="CL790" s="24"/>
      <c r="CM790" s="24"/>
      <c r="CN790" s="24"/>
      <c r="CO790" s="24"/>
      <c r="CP790" s="24"/>
      <c r="CQ790" s="24"/>
      <c r="CR790" s="24"/>
      <c r="CS790" s="24"/>
      <c r="CT790" s="24"/>
      <c r="CU790" s="24"/>
    </row>
    <row r="791">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c r="BT791" s="24"/>
      <c r="BU791" s="24"/>
      <c r="BV791" s="24"/>
      <c r="BW791" s="24"/>
      <c r="BX791" s="24"/>
      <c r="BY791" s="24"/>
      <c r="BZ791" s="24"/>
      <c r="CA791" s="24"/>
      <c r="CB791" s="24"/>
      <c r="CC791" s="24"/>
      <c r="CD791" s="24"/>
      <c r="CE791" s="24"/>
      <c r="CF791" s="24"/>
      <c r="CG791" s="24"/>
      <c r="CH791" s="24"/>
      <c r="CI791" s="24"/>
      <c r="CJ791" s="24"/>
      <c r="CK791" s="24"/>
      <c r="CL791" s="24"/>
      <c r="CM791" s="24"/>
      <c r="CN791" s="24"/>
      <c r="CO791" s="24"/>
      <c r="CP791" s="24"/>
      <c r="CQ791" s="24"/>
      <c r="CR791" s="24"/>
      <c r="CS791" s="24"/>
      <c r="CT791" s="24"/>
      <c r="CU791" s="24"/>
    </row>
    <row r="792">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c r="BQ792" s="24"/>
      <c r="BR792" s="24"/>
      <c r="BS792" s="24"/>
      <c r="BT792" s="24"/>
      <c r="BU792" s="24"/>
      <c r="BV792" s="24"/>
      <c r="BW792" s="24"/>
      <c r="BX792" s="24"/>
      <c r="BY792" s="24"/>
      <c r="BZ792" s="24"/>
      <c r="CA792" s="24"/>
      <c r="CB792" s="24"/>
      <c r="CC792" s="24"/>
      <c r="CD792" s="24"/>
      <c r="CE792" s="24"/>
      <c r="CF792" s="24"/>
      <c r="CG792" s="24"/>
      <c r="CH792" s="24"/>
      <c r="CI792" s="24"/>
      <c r="CJ792" s="24"/>
      <c r="CK792" s="24"/>
      <c r="CL792" s="24"/>
      <c r="CM792" s="24"/>
      <c r="CN792" s="24"/>
      <c r="CO792" s="24"/>
      <c r="CP792" s="24"/>
      <c r="CQ792" s="24"/>
      <c r="CR792" s="24"/>
      <c r="CS792" s="24"/>
      <c r="CT792" s="24"/>
      <c r="CU792" s="24"/>
    </row>
    <row r="793">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c r="BT793" s="24"/>
      <c r="BU793" s="24"/>
      <c r="BV793" s="24"/>
      <c r="BW793" s="24"/>
      <c r="BX793" s="24"/>
      <c r="BY793" s="24"/>
      <c r="BZ793" s="24"/>
      <c r="CA793" s="24"/>
      <c r="CB793" s="24"/>
      <c r="CC793" s="24"/>
      <c r="CD793" s="24"/>
      <c r="CE793" s="24"/>
      <c r="CF793" s="24"/>
      <c r="CG793" s="24"/>
      <c r="CH793" s="24"/>
      <c r="CI793" s="24"/>
      <c r="CJ793" s="24"/>
      <c r="CK793" s="24"/>
      <c r="CL793" s="24"/>
      <c r="CM793" s="24"/>
      <c r="CN793" s="24"/>
      <c r="CO793" s="24"/>
      <c r="CP793" s="24"/>
      <c r="CQ793" s="24"/>
      <c r="CR793" s="24"/>
      <c r="CS793" s="24"/>
      <c r="CT793" s="24"/>
      <c r="CU793" s="24"/>
    </row>
    <row r="79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c r="BQ794" s="24"/>
      <c r="BR794" s="24"/>
      <c r="BS794" s="24"/>
      <c r="BT794" s="24"/>
      <c r="BU794" s="24"/>
      <c r="BV794" s="24"/>
      <c r="BW794" s="24"/>
      <c r="BX794" s="24"/>
      <c r="BY794" s="24"/>
      <c r="BZ794" s="24"/>
      <c r="CA794" s="24"/>
      <c r="CB794" s="24"/>
      <c r="CC794" s="24"/>
      <c r="CD794" s="24"/>
      <c r="CE794" s="24"/>
      <c r="CF794" s="24"/>
      <c r="CG794" s="24"/>
      <c r="CH794" s="24"/>
      <c r="CI794" s="24"/>
      <c r="CJ794" s="24"/>
      <c r="CK794" s="24"/>
      <c r="CL794" s="24"/>
      <c r="CM794" s="24"/>
      <c r="CN794" s="24"/>
      <c r="CO794" s="24"/>
      <c r="CP794" s="24"/>
      <c r="CQ794" s="24"/>
      <c r="CR794" s="24"/>
      <c r="CS794" s="24"/>
      <c r="CT794" s="24"/>
      <c r="CU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c r="BT795" s="24"/>
      <c r="BU795" s="24"/>
      <c r="BV795" s="24"/>
      <c r="BW795" s="24"/>
      <c r="BX795" s="24"/>
      <c r="BY795" s="24"/>
      <c r="BZ795" s="24"/>
      <c r="CA795" s="24"/>
      <c r="CB795" s="24"/>
      <c r="CC795" s="24"/>
      <c r="CD795" s="24"/>
      <c r="CE795" s="24"/>
      <c r="CF795" s="24"/>
      <c r="CG795" s="24"/>
      <c r="CH795" s="24"/>
      <c r="CI795" s="24"/>
      <c r="CJ795" s="24"/>
      <c r="CK795" s="24"/>
      <c r="CL795" s="24"/>
      <c r="CM795" s="24"/>
      <c r="CN795" s="24"/>
      <c r="CO795" s="24"/>
      <c r="CP795" s="24"/>
      <c r="CQ795" s="24"/>
      <c r="CR795" s="24"/>
      <c r="CS795" s="24"/>
      <c r="CT795" s="24"/>
      <c r="CU795" s="24"/>
    </row>
    <row r="796">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c r="BQ796" s="24"/>
      <c r="BR796" s="24"/>
      <c r="BS796" s="24"/>
      <c r="BT796" s="24"/>
      <c r="BU796" s="24"/>
      <c r="BV796" s="24"/>
      <c r="BW796" s="24"/>
      <c r="BX796" s="24"/>
      <c r="BY796" s="24"/>
      <c r="BZ796" s="24"/>
      <c r="CA796" s="24"/>
      <c r="CB796" s="24"/>
      <c r="CC796" s="24"/>
      <c r="CD796" s="24"/>
      <c r="CE796" s="24"/>
      <c r="CF796" s="24"/>
      <c r="CG796" s="24"/>
      <c r="CH796" s="24"/>
      <c r="CI796" s="24"/>
      <c r="CJ796" s="24"/>
      <c r="CK796" s="24"/>
      <c r="CL796" s="24"/>
      <c r="CM796" s="24"/>
      <c r="CN796" s="24"/>
      <c r="CO796" s="24"/>
      <c r="CP796" s="24"/>
      <c r="CQ796" s="24"/>
      <c r="CR796" s="24"/>
      <c r="CS796" s="24"/>
      <c r="CT796" s="24"/>
      <c r="CU796" s="24"/>
    </row>
    <row r="797">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c r="BT797" s="24"/>
      <c r="BU797" s="24"/>
      <c r="BV797" s="24"/>
      <c r="BW797" s="24"/>
      <c r="BX797" s="24"/>
      <c r="BY797" s="24"/>
      <c r="BZ797" s="24"/>
      <c r="CA797" s="24"/>
      <c r="CB797" s="24"/>
      <c r="CC797" s="24"/>
      <c r="CD797" s="24"/>
      <c r="CE797" s="24"/>
      <c r="CF797" s="24"/>
      <c r="CG797" s="24"/>
      <c r="CH797" s="24"/>
      <c r="CI797" s="24"/>
      <c r="CJ797" s="24"/>
      <c r="CK797" s="24"/>
      <c r="CL797" s="24"/>
      <c r="CM797" s="24"/>
      <c r="CN797" s="24"/>
      <c r="CO797" s="24"/>
      <c r="CP797" s="24"/>
      <c r="CQ797" s="24"/>
      <c r="CR797" s="24"/>
      <c r="CS797" s="24"/>
      <c r="CT797" s="24"/>
      <c r="CU797" s="24"/>
    </row>
    <row r="798">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c r="BQ798" s="24"/>
      <c r="BR798" s="24"/>
      <c r="BS798" s="24"/>
      <c r="BT798" s="24"/>
      <c r="BU798" s="24"/>
      <c r="BV798" s="24"/>
      <c r="BW798" s="24"/>
      <c r="BX798" s="24"/>
      <c r="BY798" s="24"/>
      <c r="BZ798" s="24"/>
      <c r="CA798" s="24"/>
      <c r="CB798" s="24"/>
      <c r="CC798" s="24"/>
      <c r="CD798" s="24"/>
      <c r="CE798" s="24"/>
      <c r="CF798" s="24"/>
      <c r="CG798" s="24"/>
      <c r="CH798" s="24"/>
      <c r="CI798" s="24"/>
      <c r="CJ798" s="24"/>
      <c r="CK798" s="24"/>
      <c r="CL798" s="24"/>
      <c r="CM798" s="24"/>
      <c r="CN798" s="24"/>
      <c r="CO798" s="24"/>
      <c r="CP798" s="24"/>
      <c r="CQ798" s="24"/>
      <c r="CR798" s="24"/>
      <c r="CS798" s="24"/>
      <c r="CT798" s="24"/>
      <c r="CU798" s="24"/>
    </row>
    <row r="799">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c r="BT799" s="24"/>
      <c r="BU799" s="24"/>
      <c r="BV799" s="24"/>
      <c r="BW799" s="24"/>
      <c r="BX799" s="24"/>
      <c r="BY799" s="24"/>
      <c r="BZ799" s="24"/>
      <c r="CA799" s="24"/>
      <c r="CB799" s="24"/>
      <c r="CC799" s="24"/>
      <c r="CD799" s="24"/>
      <c r="CE799" s="24"/>
      <c r="CF799" s="24"/>
      <c r="CG799" s="24"/>
      <c r="CH799" s="24"/>
      <c r="CI799" s="24"/>
      <c r="CJ799" s="24"/>
      <c r="CK799" s="24"/>
      <c r="CL799" s="24"/>
      <c r="CM799" s="24"/>
      <c r="CN799" s="24"/>
      <c r="CO799" s="24"/>
      <c r="CP799" s="24"/>
      <c r="CQ799" s="24"/>
      <c r="CR799" s="24"/>
      <c r="CS799" s="24"/>
      <c r="CT799" s="24"/>
      <c r="CU799" s="24"/>
    </row>
    <row r="800">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c r="BQ800" s="24"/>
      <c r="BR800" s="24"/>
      <c r="BS800" s="24"/>
      <c r="BT800" s="24"/>
      <c r="BU800" s="24"/>
      <c r="BV800" s="24"/>
      <c r="BW800" s="24"/>
      <c r="BX800" s="24"/>
      <c r="BY800" s="24"/>
      <c r="BZ800" s="24"/>
      <c r="CA800" s="24"/>
      <c r="CB800" s="24"/>
      <c r="CC800" s="24"/>
      <c r="CD800" s="24"/>
      <c r="CE800" s="24"/>
      <c r="CF800" s="24"/>
      <c r="CG800" s="24"/>
      <c r="CH800" s="24"/>
      <c r="CI800" s="24"/>
      <c r="CJ800" s="24"/>
      <c r="CK800" s="24"/>
      <c r="CL800" s="24"/>
      <c r="CM800" s="24"/>
      <c r="CN800" s="24"/>
      <c r="CO800" s="24"/>
      <c r="CP800" s="24"/>
      <c r="CQ800" s="24"/>
      <c r="CR800" s="24"/>
      <c r="CS800" s="24"/>
      <c r="CT800" s="24"/>
      <c r="CU800" s="24"/>
    </row>
    <row r="801">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c r="BT801" s="24"/>
      <c r="BU801" s="24"/>
      <c r="BV801" s="24"/>
      <c r="BW801" s="24"/>
      <c r="BX801" s="24"/>
      <c r="BY801" s="24"/>
      <c r="BZ801" s="24"/>
      <c r="CA801" s="24"/>
      <c r="CB801" s="24"/>
      <c r="CC801" s="24"/>
      <c r="CD801" s="24"/>
      <c r="CE801" s="24"/>
      <c r="CF801" s="24"/>
      <c r="CG801" s="24"/>
      <c r="CH801" s="24"/>
      <c r="CI801" s="24"/>
      <c r="CJ801" s="24"/>
      <c r="CK801" s="24"/>
      <c r="CL801" s="24"/>
      <c r="CM801" s="24"/>
      <c r="CN801" s="24"/>
      <c r="CO801" s="24"/>
      <c r="CP801" s="24"/>
      <c r="CQ801" s="24"/>
      <c r="CR801" s="24"/>
      <c r="CS801" s="24"/>
      <c r="CT801" s="24"/>
      <c r="CU801" s="24"/>
    </row>
    <row r="802">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c r="BQ802" s="24"/>
      <c r="BR802" s="24"/>
      <c r="BS802" s="24"/>
      <c r="BT802" s="24"/>
      <c r="BU802" s="24"/>
      <c r="BV802" s="24"/>
      <c r="BW802" s="24"/>
      <c r="BX802" s="24"/>
      <c r="BY802" s="24"/>
      <c r="BZ802" s="24"/>
      <c r="CA802" s="24"/>
      <c r="CB802" s="24"/>
      <c r="CC802" s="24"/>
      <c r="CD802" s="24"/>
      <c r="CE802" s="24"/>
      <c r="CF802" s="24"/>
      <c r="CG802" s="24"/>
      <c r="CH802" s="24"/>
      <c r="CI802" s="24"/>
      <c r="CJ802" s="24"/>
      <c r="CK802" s="24"/>
      <c r="CL802" s="24"/>
      <c r="CM802" s="24"/>
      <c r="CN802" s="24"/>
      <c r="CO802" s="24"/>
      <c r="CP802" s="24"/>
      <c r="CQ802" s="24"/>
      <c r="CR802" s="24"/>
      <c r="CS802" s="24"/>
      <c r="CT802" s="24"/>
      <c r="CU802" s="24"/>
    </row>
    <row r="803">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c r="BT803" s="24"/>
      <c r="BU803" s="24"/>
      <c r="BV803" s="24"/>
      <c r="BW803" s="24"/>
      <c r="BX803" s="24"/>
      <c r="BY803" s="24"/>
      <c r="BZ803" s="24"/>
      <c r="CA803" s="24"/>
      <c r="CB803" s="24"/>
      <c r="CC803" s="24"/>
      <c r="CD803" s="24"/>
      <c r="CE803" s="24"/>
      <c r="CF803" s="24"/>
      <c r="CG803" s="24"/>
      <c r="CH803" s="24"/>
      <c r="CI803" s="24"/>
      <c r="CJ803" s="24"/>
      <c r="CK803" s="24"/>
      <c r="CL803" s="24"/>
      <c r="CM803" s="24"/>
      <c r="CN803" s="24"/>
      <c r="CO803" s="24"/>
      <c r="CP803" s="24"/>
      <c r="CQ803" s="24"/>
      <c r="CR803" s="24"/>
      <c r="CS803" s="24"/>
      <c r="CT803" s="24"/>
      <c r="CU803" s="24"/>
    </row>
    <row r="80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c r="BQ804" s="24"/>
      <c r="BR804" s="24"/>
      <c r="BS804" s="24"/>
      <c r="BT804" s="24"/>
      <c r="BU804" s="24"/>
      <c r="BV804" s="24"/>
      <c r="BW804" s="24"/>
      <c r="BX804" s="24"/>
      <c r="BY804" s="24"/>
      <c r="BZ804" s="24"/>
      <c r="CA804" s="24"/>
      <c r="CB804" s="24"/>
      <c r="CC804" s="24"/>
      <c r="CD804" s="24"/>
      <c r="CE804" s="24"/>
      <c r="CF804" s="24"/>
      <c r="CG804" s="24"/>
      <c r="CH804" s="24"/>
      <c r="CI804" s="24"/>
      <c r="CJ804" s="24"/>
      <c r="CK804" s="24"/>
      <c r="CL804" s="24"/>
      <c r="CM804" s="24"/>
      <c r="CN804" s="24"/>
      <c r="CO804" s="24"/>
      <c r="CP804" s="24"/>
      <c r="CQ804" s="24"/>
      <c r="CR804" s="24"/>
      <c r="CS804" s="24"/>
      <c r="CT804" s="24"/>
      <c r="CU804" s="24"/>
    </row>
    <row r="805">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c r="BT805" s="24"/>
      <c r="BU805" s="24"/>
      <c r="BV805" s="24"/>
      <c r="BW805" s="24"/>
      <c r="BX805" s="24"/>
      <c r="BY805" s="24"/>
      <c r="BZ805" s="24"/>
      <c r="CA805" s="24"/>
      <c r="CB805" s="24"/>
      <c r="CC805" s="24"/>
      <c r="CD805" s="24"/>
      <c r="CE805" s="24"/>
      <c r="CF805" s="24"/>
      <c r="CG805" s="24"/>
      <c r="CH805" s="24"/>
      <c r="CI805" s="24"/>
      <c r="CJ805" s="24"/>
      <c r="CK805" s="24"/>
      <c r="CL805" s="24"/>
      <c r="CM805" s="24"/>
      <c r="CN805" s="24"/>
      <c r="CO805" s="24"/>
      <c r="CP805" s="24"/>
      <c r="CQ805" s="24"/>
      <c r="CR805" s="24"/>
      <c r="CS805" s="24"/>
      <c r="CT805" s="24"/>
      <c r="CU805" s="24"/>
    </row>
    <row r="806">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c r="BQ806" s="24"/>
      <c r="BR806" s="24"/>
      <c r="BS806" s="24"/>
      <c r="BT806" s="24"/>
      <c r="BU806" s="24"/>
      <c r="BV806" s="24"/>
      <c r="BW806" s="24"/>
      <c r="BX806" s="24"/>
      <c r="BY806" s="24"/>
      <c r="BZ806" s="24"/>
      <c r="CA806" s="24"/>
      <c r="CB806" s="24"/>
      <c r="CC806" s="24"/>
      <c r="CD806" s="24"/>
      <c r="CE806" s="24"/>
      <c r="CF806" s="24"/>
      <c r="CG806" s="24"/>
      <c r="CH806" s="24"/>
      <c r="CI806" s="24"/>
      <c r="CJ806" s="24"/>
      <c r="CK806" s="24"/>
      <c r="CL806" s="24"/>
      <c r="CM806" s="24"/>
      <c r="CN806" s="24"/>
      <c r="CO806" s="24"/>
      <c r="CP806" s="24"/>
      <c r="CQ806" s="24"/>
      <c r="CR806" s="24"/>
      <c r="CS806" s="24"/>
      <c r="CT806" s="24"/>
      <c r="CU806" s="24"/>
    </row>
    <row r="807">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c r="BT807" s="24"/>
      <c r="BU807" s="24"/>
      <c r="BV807" s="24"/>
      <c r="BW807" s="24"/>
      <c r="BX807" s="24"/>
      <c r="BY807" s="24"/>
      <c r="BZ807" s="24"/>
      <c r="CA807" s="24"/>
      <c r="CB807" s="24"/>
      <c r="CC807" s="24"/>
      <c r="CD807" s="24"/>
      <c r="CE807" s="24"/>
      <c r="CF807" s="24"/>
      <c r="CG807" s="24"/>
      <c r="CH807" s="24"/>
      <c r="CI807" s="24"/>
      <c r="CJ807" s="24"/>
      <c r="CK807" s="24"/>
      <c r="CL807" s="24"/>
      <c r="CM807" s="24"/>
      <c r="CN807" s="24"/>
      <c r="CO807" s="24"/>
      <c r="CP807" s="24"/>
      <c r="CQ807" s="24"/>
      <c r="CR807" s="24"/>
      <c r="CS807" s="24"/>
      <c r="CT807" s="24"/>
      <c r="CU807" s="24"/>
    </row>
    <row r="808">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c r="BQ808" s="24"/>
      <c r="BR808" s="24"/>
      <c r="BS808" s="24"/>
      <c r="BT808" s="24"/>
      <c r="BU808" s="24"/>
      <c r="BV808" s="24"/>
      <c r="BW808" s="24"/>
      <c r="BX808" s="24"/>
      <c r="BY808" s="24"/>
      <c r="BZ808" s="24"/>
      <c r="CA808" s="24"/>
      <c r="CB808" s="24"/>
      <c r="CC808" s="24"/>
      <c r="CD808" s="24"/>
      <c r="CE808" s="24"/>
      <c r="CF808" s="24"/>
      <c r="CG808" s="24"/>
      <c r="CH808" s="24"/>
      <c r="CI808" s="24"/>
      <c r="CJ808" s="24"/>
      <c r="CK808" s="24"/>
      <c r="CL808" s="24"/>
      <c r="CM808" s="24"/>
      <c r="CN808" s="24"/>
      <c r="CO808" s="24"/>
      <c r="CP808" s="24"/>
      <c r="CQ808" s="24"/>
      <c r="CR808" s="24"/>
      <c r="CS808" s="24"/>
      <c r="CT808" s="24"/>
      <c r="CU808" s="24"/>
    </row>
    <row r="809">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c r="BT809" s="24"/>
      <c r="BU809" s="24"/>
      <c r="BV809" s="24"/>
      <c r="BW809" s="24"/>
      <c r="BX809" s="24"/>
      <c r="BY809" s="24"/>
      <c r="BZ809" s="24"/>
      <c r="CA809" s="24"/>
      <c r="CB809" s="24"/>
      <c r="CC809" s="24"/>
      <c r="CD809" s="24"/>
      <c r="CE809" s="24"/>
      <c r="CF809" s="24"/>
      <c r="CG809" s="24"/>
      <c r="CH809" s="24"/>
      <c r="CI809" s="24"/>
      <c r="CJ809" s="24"/>
      <c r="CK809" s="24"/>
      <c r="CL809" s="24"/>
      <c r="CM809" s="24"/>
      <c r="CN809" s="24"/>
      <c r="CO809" s="24"/>
      <c r="CP809" s="24"/>
      <c r="CQ809" s="24"/>
      <c r="CR809" s="24"/>
      <c r="CS809" s="24"/>
      <c r="CT809" s="24"/>
      <c r="CU809" s="24"/>
    </row>
    <row r="810">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c r="BQ810" s="24"/>
      <c r="BR810" s="24"/>
      <c r="BS810" s="24"/>
      <c r="BT810" s="24"/>
      <c r="BU810" s="24"/>
      <c r="BV810" s="24"/>
      <c r="BW810" s="24"/>
      <c r="BX810" s="24"/>
      <c r="BY810" s="24"/>
      <c r="BZ810" s="24"/>
      <c r="CA810" s="24"/>
      <c r="CB810" s="24"/>
      <c r="CC810" s="24"/>
      <c r="CD810" s="24"/>
      <c r="CE810" s="24"/>
      <c r="CF810" s="24"/>
      <c r="CG810" s="24"/>
      <c r="CH810" s="24"/>
      <c r="CI810" s="24"/>
      <c r="CJ810" s="24"/>
      <c r="CK810" s="24"/>
      <c r="CL810" s="24"/>
      <c r="CM810" s="24"/>
      <c r="CN810" s="24"/>
      <c r="CO810" s="24"/>
      <c r="CP810" s="24"/>
      <c r="CQ810" s="24"/>
      <c r="CR810" s="24"/>
      <c r="CS810" s="24"/>
      <c r="CT810" s="24"/>
      <c r="CU810" s="24"/>
    </row>
    <row r="811">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c r="BT811" s="24"/>
      <c r="BU811" s="24"/>
      <c r="BV811" s="24"/>
      <c r="BW811" s="24"/>
      <c r="BX811" s="24"/>
      <c r="BY811" s="24"/>
      <c r="BZ811" s="24"/>
      <c r="CA811" s="24"/>
      <c r="CB811" s="24"/>
      <c r="CC811" s="24"/>
      <c r="CD811" s="24"/>
      <c r="CE811" s="24"/>
      <c r="CF811" s="24"/>
      <c r="CG811" s="24"/>
      <c r="CH811" s="24"/>
      <c r="CI811" s="24"/>
      <c r="CJ811" s="24"/>
      <c r="CK811" s="24"/>
      <c r="CL811" s="24"/>
      <c r="CM811" s="24"/>
      <c r="CN811" s="24"/>
      <c r="CO811" s="24"/>
      <c r="CP811" s="24"/>
      <c r="CQ811" s="24"/>
      <c r="CR811" s="24"/>
      <c r="CS811" s="24"/>
      <c r="CT811" s="24"/>
      <c r="CU811" s="24"/>
    </row>
    <row r="812">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c r="BQ812" s="24"/>
      <c r="BR812" s="24"/>
      <c r="BS812" s="24"/>
      <c r="BT812" s="24"/>
      <c r="BU812" s="24"/>
      <c r="BV812" s="24"/>
      <c r="BW812" s="24"/>
      <c r="BX812" s="24"/>
      <c r="BY812" s="24"/>
      <c r="BZ812" s="24"/>
      <c r="CA812" s="24"/>
      <c r="CB812" s="24"/>
      <c r="CC812" s="24"/>
      <c r="CD812" s="24"/>
      <c r="CE812" s="24"/>
      <c r="CF812" s="24"/>
      <c r="CG812" s="24"/>
      <c r="CH812" s="24"/>
      <c r="CI812" s="24"/>
      <c r="CJ812" s="24"/>
      <c r="CK812" s="24"/>
      <c r="CL812" s="24"/>
      <c r="CM812" s="24"/>
      <c r="CN812" s="24"/>
      <c r="CO812" s="24"/>
      <c r="CP812" s="24"/>
      <c r="CQ812" s="24"/>
      <c r="CR812" s="24"/>
      <c r="CS812" s="24"/>
      <c r="CT812" s="24"/>
      <c r="CU812" s="24"/>
    </row>
    <row r="813">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c r="BT813" s="24"/>
      <c r="BU813" s="24"/>
      <c r="BV813" s="24"/>
      <c r="BW813" s="24"/>
      <c r="BX813" s="24"/>
      <c r="BY813" s="24"/>
      <c r="BZ813" s="24"/>
      <c r="CA813" s="24"/>
      <c r="CB813" s="24"/>
      <c r="CC813" s="24"/>
      <c r="CD813" s="24"/>
      <c r="CE813" s="24"/>
      <c r="CF813" s="24"/>
      <c r="CG813" s="24"/>
      <c r="CH813" s="24"/>
      <c r="CI813" s="24"/>
      <c r="CJ813" s="24"/>
      <c r="CK813" s="24"/>
      <c r="CL813" s="24"/>
      <c r="CM813" s="24"/>
      <c r="CN813" s="24"/>
      <c r="CO813" s="24"/>
      <c r="CP813" s="24"/>
      <c r="CQ813" s="24"/>
      <c r="CR813" s="24"/>
      <c r="CS813" s="24"/>
      <c r="CT813" s="24"/>
      <c r="CU813" s="24"/>
    </row>
    <row r="81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c r="BQ814" s="24"/>
      <c r="BR814" s="24"/>
      <c r="BS814" s="24"/>
      <c r="BT814" s="24"/>
      <c r="BU814" s="24"/>
      <c r="BV814" s="24"/>
      <c r="BW814" s="24"/>
      <c r="BX814" s="24"/>
      <c r="BY814" s="24"/>
      <c r="BZ814" s="24"/>
      <c r="CA814" s="24"/>
      <c r="CB814" s="24"/>
      <c r="CC814" s="24"/>
      <c r="CD814" s="24"/>
      <c r="CE814" s="24"/>
      <c r="CF814" s="24"/>
      <c r="CG814" s="24"/>
      <c r="CH814" s="24"/>
      <c r="CI814" s="24"/>
      <c r="CJ814" s="24"/>
      <c r="CK814" s="24"/>
      <c r="CL814" s="24"/>
      <c r="CM814" s="24"/>
      <c r="CN814" s="24"/>
      <c r="CO814" s="24"/>
      <c r="CP814" s="24"/>
      <c r="CQ814" s="24"/>
      <c r="CR814" s="24"/>
      <c r="CS814" s="24"/>
      <c r="CT814" s="24"/>
      <c r="CU814" s="24"/>
    </row>
    <row r="815">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c r="BT815" s="24"/>
      <c r="BU815" s="24"/>
      <c r="BV815" s="24"/>
      <c r="BW815" s="24"/>
      <c r="BX815" s="24"/>
      <c r="BY815" s="24"/>
      <c r="BZ815" s="24"/>
      <c r="CA815" s="24"/>
      <c r="CB815" s="24"/>
      <c r="CC815" s="24"/>
      <c r="CD815" s="24"/>
      <c r="CE815" s="24"/>
      <c r="CF815" s="24"/>
      <c r="CG815" s="24"/>
      <c r="CH815" s="24"/>
      <c r="CI815" s="24"/>
      <c r="CJ815" s="24"/>
      <c r="CK815" s="24"/>
      <c r="CL815" s="24"/>
      <c r="CM815" s="24"/>
      <c r="CN815" s="24"/>
      <c r="CO815" s="24"/>
      <c r="CP815" s="24"/>
      <c r="CQ815" s="24"/>
      <c r="CR815" s="24"/>
      <c r="CS815" s="24"/>
      <c r="CT815" s="24"/>
      <c r="CU815" s="24"/>
    </row>
    <row r="816">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c r="BQ816" s="24"/>
      <c r="BR816" s="24"/>
      <c r="BS816" s="24"/>
      <c r="BT816" s="24"/>
      <c r="BU816" s="24"/>
      <c r="BV816" s="24"/>
      <c r="BW816" s="24"/>
      <c r="BX816" s="24"/>
      <c r="BY816" s="24"/>
      <c r="BZ816" s="24"/>
      <c r="CA816" s="24"/>
      <c r="CB816" s="24"/>
      <c r="CC816" s="24"/>
      <c r="CD816" s="24"/>
      <c r="CE816" s="24"/>
      <c r="CF816" s="24"/>
      <c r="CG816" s="24"/>
      <c r="CH816" s="24"/>
      <c r="CI816" s="24"/>
      <c r="CJ816" s="24"/>
      <c r="CK816" s="24"/>
      <c r="CL816" s="24"/>
      <c r="CM816" s="24"/>
      <c r="CN816" s="24"/>
      <c r="CO816" s="24"/>
      <c r="CP816" s="24"/>
      <c r="CQ816" s="24"/>
      <c r="CR816" s="24"/>
      <c r="CS816" s="24"/>
      <c r="CT816" s="24"/>
      <c r="CU816" s="24"/>
    </row>
    <row r="817">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c r="BT817" s="24"/>
      <c r="BU817" s="24"/>
      <c r="BV817" s="24"/>
      <c r="BW817" s="24"/>
      <c r="BX817" s="24"/>
      <c r="BY817" s="24"/>
      <c r="BZ817" s="24"/>
      <c r="CA817" s="24"/>
      <c r="CB817" s="24"/>
      <c r="CC817" s="24"/>
      <c r="CD817" s="24"/>
      <c r="CE817" s="24"/>
      <c r="CF817" s="24"/>
      <c r="CG817" s="24"/>
      <c r="CH817" s="24"/>
      <c r="CI817" s="24"/>
      <c r="CJ817" s="24"/>
      <c r="CK817" s="24"/>
      <c r="CL817" s="24"/>
      <c r="CM817" s="24"/>
      <c r="CN817" s="24"/>
      <c r="CO817" s="24"/>
      <c r="CP817" s="24"/>
      <c r="CQ817" s="24"/>
      <c r="CR817" s="24"/>
      <c r="CS817" s="24"/>
      <c r="CT817" s="24"/>
      <c r="CU817" s="24"/>
    </row>
    <row r="818">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c r="BQ818" s="24"/>
      <c r="BR818" s="24"/>
      <c r="BS818" s="24"/>
      <c r="BT818" s="24"/>
      <c r="BU818" s="24"/>
      <c r="BV818" s="24"/>
      <c r="BW818" s="24"/>
      <c r="BX818" s="24"/>
      <c r="BY818" s="24"/>
      <c r="BZ818" s="24"/>
      <c r="CA818" s="24"/>
      <c r="CB818" s="24"/>
      <c r="CC818" s="24"/>
      <c r="CD818" s="24"/>
      <c r="CE818" s="24"/>
      <c r="CF818" s="24"/>
      <c r="CG818" s="24"/>
      <c r="CH818" s="24"/>
      <c r="CI818" s="24"/>
      <c r="CJ818" s="24"/>
      <c r="CK818" s="24"/>
      <c r="CL818" s="24"/>
      <c r="CM818" s="24"/>
      <c r="CN818" s="24"/>
      <c r="CO818" s="24"/>
      <c r="CP818" s="24"/>
      <c r="CQ818" s="24"/>
      <c r="CR818" s="24"/>
      <c r="CS818" s="24"/>
      <c r="CT818" s="24"/>
      <c r="CU818" s="24"/>
    </row>
    <row r="819">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c r="BT819" s="24"/>
      <c r="BU819" s="24"/>
      <c r="BV819" s="24"/>
      <c r="BW819" s="24"/>
      <c r="BX819" s="24"/>
      <c r="BY819" s="24"/>
      <c r="BZ819" s="24"/>
      <c r="CA819" s="24"/>
      <c r="CB819" s="24"/>
      <c r="CC819" s="24"/>
      <c r="CD819" s="24"/>
      <c r="CE819" s="24"/>
      <c r="CF819" s="24"/>
      <c r="CG819" s="24"/>
      <c r="CH819" s="24"/>
      <c r="CI819" s="24"/>
      <c r="CJ819" s="24"/>
      <c r="CK819" s="24"/>
      <c r="CL819" s="24"/>
      <c r="CM819" s="24"/>
      <c r="CN819" s="24"/>
      <c r="CO819" s="24"/>
      <c r="CP819" s="24"/>
      <c r="CQ819" s="24"/>
      <c r="CR819" s="24"/>
      <c r="CS819" s="24"/>
      <c r="CT819" s="24"/>
      <c r="CU819" s="24"/>
    </row>
    <row r="820">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c r="BQ820" s="24"/>
      <c r="BR820" s="24"/>
      <c r="BS820" s="24"/>
      <c r="BT820" s="24"/>
      <c r="BU820" s="24"/>
      <c r="BV820" s="24"/>
      <c r="BW820" s="24"/>
      <c r="BX820" s="24"/>
      <c r="BY820" s="24"/>
      <c r="BZ820" s="24"/>
      <c r="CA820" s="24"/>
      <c r="CB820" s="24"/>
      <c r="CC820" s="24"/>
      <c r="CD820" s="24"/>
      <c r="CE820" s="24"/>
      <c r="CF820" s="24"/>
      <c r="CG820" s="24"/>
      <c r="CH820" s="24"/>
      <c r="CI820" s="24"/>
      <c r="CJ820" s="24"/>
      <c r="CK820" s="24"/>
      <c r="CL820" s="24"/>
      <c r="CM820" s="24"/>
      <c r="CN820" s="24"/>
      <c r="CO820" s="24"/>
      <c r="CP820" s="24"/>
      <c r="CQ820" s="24"/>
      <c r="CR820" s="24"/>
      <c r="CS820" s="24"/>
      <c r="CT820" s="24"/>
      <c r="CU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c r="BT821" s="24"/>
      <c r="BU821" s="24"/>
      <c r="BV821" s="24"/>
      <c r="BW821" s="24"/>
      <c r="BX821" s="24"/>
      <c r="BY821" s="24"/>
      <c r="BZ821" s="24"/>
      <c r="CA821" s="24"/>
      <c r="CB821" s="24"/>
      <c r="CC821" s="24"/>
      <c r="CD821" s="24"/>
      <c r="CE821" s="24"/>
      <c r="CF821" s="24"/>
      <c r="CG821" s="24"/>
      <c r="CH821" s="24"/>
      <c r="CI821" s="24"/>
      <c r="CJ821" s="24"/>
      <c r="CK821" s="24"/>
      <c r="CL821" s="24"/>
      <c r="CM821" s="24"/>
      <c r="CN821" s="24"/>
      <c r="CO821" s="24"/>
      <c r="CP821" s="24"/>
      <c r="CQ821" s="24"/>
      <c r="CR821" s="24"/>
      <c r="CS821" s="24"/>
      <c r="CT821" s="24"/>
      <c r="CU821" s="24"/>
    </row>
    <row r="822">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c r="BQ822" s="24"/>
      <c r="BR822" s="24"/>
      <c r="BS822" s="24"/>
      <c r="BT822" s="24"/>
      <c r="BU822" s="24"/>
      <c r="BV822" s="24"/>
      <c r="BW822" s="24"/>
      <c r="BX822" s="24"/>
      <c r="BY822" s="24"/>
      <c r="BZ822" s="24"/>
      <c r="CA822" s="24"/>
      <c r="CB822" s="24"/>
      <c r="CC822" s="24"/>
      <c r="CD822" s="24"/>
      <c r="CE822" s="24"/>
      <c r="CF822" s="24"/>
      <c r="CG822" s="24"/>
      <c r="CH822" s="24"/>
      <c r="CI822" s="24"/>
      <c r="CJ822" s="24"/>
      <c r="CK822" s="24"/>
      <c r="CL822" s="24"/>
      <c r="CM822" s="24"/>
      <c r="CN822" s="24"/>
      <c r="CO822" s="24"/>
      <c r="CP822" s="24"/>
      <c r="CQ822" s="24"/>
      <c r="CR822" s="24"/>
      <c r="CS822" s="24"/>
      <c r="CT822" s="24"/>
      <c r="CU822" s="24"/>
    </row>
    <row r="823">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c r="BT823" s="24"/>
      <c r="BU823" s="24"/>
      <c r="BV823" s="24"/>
      <c r="BW823" s="24"/>
      <c r="BX823" s="24"/>
      <c r="BY823" s="24"/>
      <c r="BZ823" s="24"/>
      <c r="CA823" s="24"/>
      <c r="CB823" s="24"/>
      <c r="CC823" s="24"/>
      <c r="CD823" s="24"/>
      <c r="CE823" s="24"/>
      <c r="CF823" s="24"/>
      <c r="CG823" s="24"/>
      <c r="CH823" s="24"/>
      <c r="CI823" s="24"/>
      <c r="CJ823" s="24"/>
      <c r="CK823" s="24"/>
      <c r="CL823" s="24"/>
      <c r="CM823" s="24"/>
      <c r="CN823" s="24"/>
      <c r="CO823" s="24"/>
      <c r="CP823" s="24"/>
      <c r="CQ823" s="24"/>
      <c r="CR823" s="24"/>
      <c r="CS823" s="24"/>
      <c r="CT823" s="24"/>
      <c r="CU823" s="24"/>
    </row>
    <row r="8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24"/>
      <c r="BR824" s="24"/>
      <c r="BS824" s="24"/>
      <c r="BT824" s="24"/>
      <c r="BU824" s="24"/>
      <c r="BV824" s="24"/>
      <c r="BW824" s="24"/>
      <c r="BX824" s="24"/>
      <c r="BY824" s="24"/>
      <c r="BZ824" s="24"/>
      <c r="CA824" s="24"/>
      <c r="CB824" s="24"/>
      <c r="CC824" s="24"/>
      <c r="CD824" s="24"/>
      <c r="CE824" s="24"/>
      <c r="CF824" s="24"/>
      <c r="CG824" s="24"/>
      <c r="CH824" s="24"/>
      <c r="CI824" s="24"/>
      <c r="CJ824" s="24"/>
      <c r="CK824" s="24"/>
      <c r="CL824" s="24"/>
      <c r="CM824" s="24"/>
      <c r="CN824" s="24"/>
      <c r="CO824" s="24"/>
      <c r="CP824" s="24"/>
      <c r="CQ824" s="24"/>
      <c r="CR824" s="24"/>
      <c r="CS824" s="24"/>
      <c r="CT824" s="24"/>
      <c r="CU824" s="24"/>
    </row>
    <row r="825">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c r="BT825" s="24"/>
      <c r="BU825" s="24"/>
      <c r="BV825" s="24"/>
      <c r="BW825" s="24"/>
      <c r="BX825" s="24"/>
      <c r="BY825" s="24"/>
      <c r="BZ825" s="24"/>
      <c r="CA825" s="24"/>
      <c r="CB825" s="24"/>
      <c r="CC825" s="24"/>
      <c r="CD825" s="24"/>
      <c r="CE825" s="24"/>
      <c r="CF825" s="24"/>
      <c r="CG825" s="24"/>
      <c r="CH825" s="24"/>
      <c r="CI825" s="24"/>
      <c r="CJ825" s="24"/>
      <c r="CK825" s="24"/>
      <c r="CL825" s="24"/>
      <c r="CM825" s="24"/>
      <c r="CN825" s="24"/>
      <c r="CO825" s="24"/>
      <c r="CP825" s="24"/>
      <c r="CQ825" s="24"/>
      <c r="CR825" s="24"/>
      <c r="CS825" s="24"/>
      <c r="CT825" s="24"/>
      <c r="CU825" s="24"/>
    </row>
    <row r="826">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c r="BQ826" s="24"/>
      <c r="BR826" s="24"/>
      <c r="BS826" s="24"/>
      <c r="BT826" s="24"/>
      <c r="BU826" s="24"/>
      <c r="BV826" s="24"/>
      <c r="BW826" s="24"/>
      <c r="BX826" s="24"/>
      <c r="BY826" s="24"/>
      <c r="BZ826" s="24"/>
      <c r="CA826" s="24"/>
      <c r="CB826" s="24"/>
      <c r="CC826" s="24"/>
      <c r="CD826" s="24"/>
      <c r="CE826" s="24"/>
      <c r="CF826" s="24"/>
      <c r="CG826" s="24"/>
      <c r="CH826" s="24"/>
      <c r="CI826" s="24"/>
      <c r="CJ826" s="24"/>
      <c r="CK826" s="24"/>
      <c r="CL826" s="24"/>
      <c r="CM826" s="24"/>
      <c r="CN826" s="24"/>
      <c r="CO826" s="24"/>
      <c r="CP826" s="24"/>
      <c r="CQ826" s="24"/>
      <c r="CR826" s="24"/>
      <c r="CS826" s="24"/>
      <c r="CT826" s="24"/>
      <c r="CU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c r="BT827" s="24"/>
      <c r="BU827" s="24"/>
      <c r="BV827" s="24"/>
      <c r="BW827" s="24"/>
      <c r="BX827" s="24"/>
      <c r="BY827" s="24"/>
      <c r="BZ827" s="24"/>
      <c r="CA827" s="24"/>
      <c r="CB827" s="24"/>
      <c r="CC827" s="24"/>
      <c r="CD827" s="24"/>
      <c r="CE827" s="24"/>
      <c r="CF827" s="24"/>
      <c r="CG827" s="24"/>
      <c r="CH827" s="24"/>
      <c r="CI827" s="24"/>
      <c r="CJ827" s="24"/>
      <c r="CK827" s="24"/>
      <c r="CL827" s="24"/>
      <c r="CM827" s="24"/>
      <c r="CN827" s="24"/>
      <c r="CO827" s="24"/>
      <c r="CP827" s="24"/>
      <c r="CQ827" s="24"/>
      <c r="CR827" s="24"/>
      <c r="CS827" s="24"/>
      <c r="CT827" s="24"/>
      <c r="CU827" s="24"/>
    </row>
    <row r="828">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c r="BQ828" s="24"/>
      <c r="BR828" s="24"/>
      <c r="BS828" s="24"/>
      <c r="BT828" s="24"/>
      <c r="BU828" s="24"/>
      <c r="BV828" s="24"/>
      <c r="BW828" s="24"/>
      <c r="BX828" s="24"/>
      <c r="BY828" s="24"/>
      <c r="BZ828" s="24"/>
      <c r="CA828" s="24"/>
      <c r="CB828" s="24"/>
      <c r="CC828" s="24"/>
      <c r="CD828" s="24"/>
      <c r="CE828" s="24"/>
      <c r="CF828" s="24"/>
      <c r="CG828" s="24"/>
      <c r="CH828" s="24"/>
      <c r="CI828" s="24"/>
      <c r="CJ828" s="24"/>
      <c r="CK828" s="24"/>
      <c r="CL828" s="24"/>
      <c r="CM828" s="24"/>
      <c r="CN828" s="24"/>
      <c r="CO828" s="24"/>
      <c r="CP828" s="24"/>
      <c r="CQ828" s="24"/>
      <c r="CR828" s="24"/>
      <c r="CS828" s="24"/>
      <c r="CT828" s="24"/>
      <c r="CU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c r="BT829" s="24"/>
      <c r="BU829" s="24"/>
      <c r="BV829" s="24"/>
      <c r="BW829" s="24"/>
      <c r="BX829" s="24"/>
      <c r="BY829" s="24"/>
      <c r="BZ829" s="24"/>
      <c r="CA829" s="24"/>
      <c r="CB829" s="24"/>
      <c r="CC829" s="24"/>
      <c r="CD829" s="24"/>
      <c r="CE829" s="24"/>
      <c r="CF829" s="24"/>
      <c r="CG829" s="24"/>
      <c r="CH829" s="24"/>
      <c r="CI829" s="24"/>
      <c r="CJ829" s="24"/>
      <c r="CK829" s="24"/>
      <c r="CL829" s="24"/>
      <c r="CM829" s="24"/>
      <c r="CN829" s="24"/>
      <c r="CO829" s="24"/>
      <c r="CP829" s="24"/>
      <c r="CQ829" s="24"/>
      <c r="CR829" s="24"/>
      <c r="CS829" s="24"/>
      <c r="CT829" s="24"/>
      <c r="CU829" s="24"/>
    </row>
    <row r="830">
      <c r="A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c r="BQ830" s="24"/>
      <c r="BR830" s="24"/>
      <c r="BS830" s="24"/>
      <c r="BT830" s="24"/>
      <c r="BU830" s="24"/>
      <c r="BV830" s="24"/>
      <c r="BW830" s="24"/>
      <c r="BX830" s="24"/>
      <c r="BY830" s="24"/>
      <c r="BZ830" s="24"/>
      <c r="CA830" s="24"/>
      <c r="CB830" s="24"/>
      <c r="CC830" s="24"/>
      <c r="CD830" s="24"/>
      <c r="CE830" s="24"/>
      <c r="CF830" s="24"/>
      <c r="CG830" s="24"/>
      <c r="CH830" s="24"/>
      <c r="CI830" s="24"/>
      <c r="CJ830" s="24"/>
      <c r="CK830" s="24"/>
      <c r="CL830" s="24"/>
      <c r="CM830" s="24"/>
      <c r="CN830" s="24"/>
      <c r="CO830" s="24"/>
      <c r="CP830" s="24"/>
      <c r="CQ830" s="24"/>
      <c r="CR830" s="24"/>
      <c r="CS830" s="24"/>
      <c r="CT830" s="24"/>
      <c r="CU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c r="BT831" s="24"/>
      <c r="BU831" s="24"/>
      <c r="BV831" s="24"/>
      <c r="BW831" s="24"/>
      <c r="BX831" s="24"/>
      <c r="BY831" s="24"/>
      <c r="BZ831" s="24"/>
      <c r="CA831" s="24"/>
      <c r="CB831" s="24"/>
      <c r="CC831" s="24"/>
      <c r="CD831" s="24"/>
      <c r="CE831" s="24"/>
      <c r="CF831" s="24"/>
      <c r="CG831" s="24"/>
      <c r="CH831" s="24"/>
      <c r="CI831" s="24"/>
      <c r="CJ831" s="24"/>
      <c r="CK831" s="24"/>
      <c r="CL831" s="24"/>
      <c r="CM831" s="24"/>
      <c r="CN831" s="24"/>
      <c r="CO831" s="24"/>
      <c r="CP831" s="24"/>
      <c r="CQ831" s="24"/>
      <c r="CR831" s="24"/>
      <c r="CS831" s="24"/>
      <c r="CT831" s="24"/>
      <c r="CU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c r="BQ832" s="24"/>
      <c r="BR832" s="24"/>
      <c r="BS832" s="24"/>
      <c r="BT832" s="24"/>
      <c r="BU832" s="24"/>
      <c r="BV832" s="24"/>
      <c r="BW832" s="24"/>
      <c r="BX832" s="24"/>
      <c r="BY832" s="24"/>
      <c r="BZ832" s="24"/>
      <c r="CA832" s="24"/>
      <c r="CB832" s="24"/>
      <c r="CC832" s="24"/>
      <c r="CD832" s="24"/>
      <c r="CE832" s="24"/>
      <c r="CF832" s="24"/>
      <c r="CG832" s="24"/>
      <c r="CH832" s="24"/>
      <c r="CI832" s="24"/>
      <c r="CJ832" s="24"/>
      <c r="CK832" s="24"/>
      <c r="CL832" s="24"/>
      <c r="CM832" s="24"/>
      <c r="CN832" s="24"/>
      <c r="CO832" s="24"/>
      <c r="CP832" s="24"/>
      <c r="CQ832" s="24"/>
      <c r="CR832" s="24"/>
      <c r="CS832" s="24"/>
      <c r="CT832" s="24"/>
      <c r="CU832" s="24"/>
    </row>
    <row r="833">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c r="BT833" s="24"/>
      <c r="BU833" s="24"/>
      <c r="BV833" s="24"/>
      <c r="BW833" s="24"/>
      <c r="BX833" s="24"/>
      <c r="BY833" s="24"/>
      <c r="BZ833" s="24"/>
      <c r="CA833" s="24"/>
      <c r="CB833" s="24"/>
      <c r="CC833" s="24"/>
      <c r="CD833" s="24"/>
      <c r="CE833" s="24"/>
      <c r="CF833" s="24"/>
      <c r="CG833" s="24"/>
      <c r="CH833" s="24"/>
      <c r="CI833" s="24"/>
      <c r="CJ833" s="24"/>
      <c r="CK833" s="24"/>
      <c r="CL833" s="24"/>
      <c r="CM833" s="24"/>
      <c r="CN833" s="24"/>
      <c r="CO833" s="24"/>
      <c r="CP833" s="24"/>
      <c r="CQ833" s="24"/>
      <c r="CR833" s="24"/>
      <c r="CS833" s="24"/>
      <c r="CT833" s="24"/>
      <c r="CU833" s="24"/>
    </row>
    <row r="83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c r="BQ834" s="24"/>
      <c r="BR834" s="24"/>
      <c r="BS834" s="24"/>
      <c r="BT834" s="24"/>
      <c r="BU834" s="24"/>
      <c r="BV834" s="24"/>
      <c r="BW834" s="24"/>
      <c r="BX834" s="24"/>
      <c r="BY834" s="24"/>
      <c r="BZ834" s="24"/>
      <c r="CA834" s="24"/>
      <c r="CB834" s="24"/>
      <c r="CC834" s="24"/>
      <c r="CD834" s="24"/>
      <c r="CE834" s="24"/>
      <c r="CF834" s="24"/>
      <c r="CG834" s="24"/>
      <c r="CH834" s="24"/>
      <c r="CI834" s="24"/>
      <c r="CJ834" s="24"/>
      <c r="CK834" s="24"/>
      <c r="CL834" s="24"/>
      <c r="CM834" s="24"/>
      <c r="CN834" s="24"/>
      <c r="CO834" s="24"/>
      <c r="CP834" s="24"/>
      <c r="CQ834" s="24"/>
      <c r="CR834" s="24"/>
      <c r="CS834" s="24"/>
      <c r="CT834" s="24"/>
      <c r="CU834" s="24"/>
    </row>
    <row r="835">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c r="BT835" s="24"/>
      <c r="BU835" s="24"/>
      <c r="BV835" s="24"/>
      <c r="BW835" s="24"/>
      <c r="BX835" s="24"/>
      <c r="BY835" s="24"/>
      <c r="BZ835" s="24"/>
      <c r="CA835" s="24"/>
      <c r="CB835" s="24"/>
      <c r="CC835" s="24"/>
      <c r="CD835" s="24"/>
      <c r="CE835" s="24"/>
      <c r="CF835" s="24"/>
      <c r="CG835" s="24"/>
      <c r="CH835" s="24"/>
      <c r="CI835" s="24"/>
      <c r="CJ835" s="24"/>
      <c r="CK835" s="24"/>
      <c r="CL835" s="24"/>
      <c r="CM835" s="24"/>
      <c r="CN835" s="24"/>
      <c r="CO835" s="24"/>
      <c r="CP835" s="24"/>
      <c r="CQ835" s="24"/>
      <c r="CR835" s="24"/>
      <c r="CS835" s="24"/>
      <c r="CT835" s="24"/>
      <c r="CU835" s="24"/>
    </row>
    <row r="836">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c r="BQ836" s="24"/>
      <c r="BR836" s="24"/>
      <c r="BS836" s="24"/>
      <c r="BT836" s="24"/>
      <c r="BU836" s="24"/>
      <c r="BV836" s="24"/>
      <c r="BW836" s="24"/>
      <c r="BX836" s="24"/>
      <c r="BY836" s="24"/>
      <c r="BZ836" s="24"/>
      <c r="CA836" s="24"/>
      <c r="CB836" s="24"/>
      <c r="CC836" s="24"/>
      <c r="CD836" s="24"/>
      <c r="CE836" s="24"/>
      <c r="CF836" s="24"/>
      <c r="CG836" s="24"/>
      <c r="CH836" s="24"/>
      <c r="CI836" s="24"/>
      <c r="CJ836" s="24"/>
      <c r="CK836" s="24"/>
      <c r="CL836" s="24"/>
      <c r="CM836" s="24"/>
      <c r="CN836" s="24"/>
      <c r="CO836" s="24"/>
      <c r="CP836" s="24"/>
      <c r="CQ836" s="24"/>
      <c r="CR836" s="24"/>
      <c r="CS836" s="24"/>
      <c r="CT836" s="24"/>
      <c r="CU836" s="24"/>
    </row>
    <row r="837">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c r="BT837" s="24"/>
      <c r="BU837" s="24"/>
      <c r="BV837" s="24"/>
      <c r="BW837" s="24"/>
      <c r="BX837" s="24"/>
      <c r="BY837" s="24"/>
      <c r="BZ837" s="24"/>
      <c r="CA837" s="24"/>
      <c r="CB837" s="24"/>
      <c r="CC837" s="24"/>
      <c r="CD837" s="24"/>
      <c r="CE837" s="24"/>
      <c r="CF837" s="24"/>
      <c r="CG837" s="24"/>
      <c r="CH837" s="24"/>
      <c r="CI837" s="24"/>
      <c r="CJ837" s="24"/>
      <c r="CK837" s="24"/>
      <c r="CL837" s="24"/>
      <c r="CM837" s="24"/>
      <c r="CN837" s="24"/>
      <c r="CO837" s="24"/>
      <c r="CP837" s="24"/>
      <c r="CQ837" s="24"/>
      <c r="CR837" s="24"/>
      <c r="CS837" s="24"/>
      <c r="CT837" s="24"/>
      <c r="CU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c r="BQ838" s="24"/>
      <c r="BR838" s="24"/>
      <c r="BS838" s="24"/>
      <c r="BT838" s="24"/>
      <c r="BU838" s="24"/>
      <c r="BV838" s="24"/>
      <c r="BW838" s="24"/>
      <c r="BX838" s="24"/>
      <c r="BY838" s="24"/>
      <c r="BZ838" s="24"/>
      <c r="CA838" s="24"/>
      <c r="CB838" s="24"/>
      <c r="CC838" s="24"/>
      <c r="CD838" s="24"/>
      <c r="CE838" s="24"/>
      <c r="CF838" s="24"/>
      <c r="CG838" s="24"/>
      <c r="CH838" s="24"/>
      <c r="CI838" s="24"/>
      <c r="CJ838" s="24"/>
      <c r="CK838" s="24"/>
      <c r="CL838" s="24"/>
      <c r="CM838" s="24"/>
      <c r="CN838" s="24"/>
      <c r="CO838" s="24"/>
      <c r="CP838" s="24"/>
      <c r="CQ838" s="24"/>
      <c r="CR838" s="24"/>
      <c r="CS838" s="24"/>
      <c r="CT838" s="24"/>
      <c r="CU838" s="24"/>
    </row>
    <row r="839">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c r="BT839" s="24"/>
      <c r="BU839" s="24"/>
      <c r="BV839" s="24"/>
      <c r="BW839" s="24"/>
      <c r="BX839" s="24"/>
      <c r="BY839" s="24"/>
      <c r="BZ839" s="24"/>
      <c r="CA839" s="24"/>
      <c r="CB839" s="24"/>
      <c r="CC839" s="24"/>
      <c r="CD839" s="24"/>
      <c r="CE839" s="24"/>
      <c r="CF839" s="24"/>
      <c r="CG839" s="24"/>
      <c r="CH839" s="24"/>
      <c r="CI839" s="24"/>
      <c r="CJ839" s="24"/>
      <c r="CK839" s="24"/>
      <c r="CL839" s="24"/>
      <c r="CM839" s="24"/>
      <c r="CN839" s="24"/>
      <c r="CO839" s="24"/>
      <c r="CP839" s="24"/>
      <c r="CQ839" s="24"/>
      <c r="CR839" s="24"/>
      <c r="CS839" s="24"/>
      <c r="CT839" s="24"/>
      <c r="CU839" s="24"/>
    </row>
    <row r="840">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c r="BQ840" s="24"/>
      <c r="BR840" s="24"/>
      <c r="BS840" s="24"/>
      <c r="BT840" s="24"/>
      <c r="BU840" s="24"/>
      <c r="BV840" s="24"/>
      <c r="BW840" s="24"/>
      <c r="BX840" s="24"/>
      <c r="BY840" s="24"/>
      <c r="BZ840" s="24"/>
      <c r="CA840" s="24"/>
      <c r="CB840" s="24"/>
      <c r="CC840" s="24"/>
      <c r="CD840" s="24"/>
      <c r="CE840" s="24"/>
      <c r="CF840" s="24"/>
      <c r="CG840" s="24"/>
      <c r="CH840" s="24"/>
      <c r="CI840" s="24"/>
      <c r="CJ840" s="24"/>
      <c r="CK840" s="24"/>
      <c r="CL840" s="24"/>
      <c r="CM840" s="24"/>
      <c r="CN840" s="24"/>
      <c r="CO840" s="24"/>
      <c r="CP840" s="24"/>
      <c r="CQ840" s="24"/>
      <c r="CR840" s="24"/>
      <c r="CS840" s="24"/>
      <c r="CT840" s="24"/>
      <c r="CU840" s="24"/>
    </row>
    <row r="841">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c r="BT841" s="24"/>
      <c r="BU841" s="24"/>
      <c r="BV841" s="24"/>
      <c r="BW841" s="24"/>
      <c r="BX841" s="24"/>
      <c r="BY841" s="24"/>
      <c r="BZ841" s="24"/>
      <c r="CA841" s="24"/>
      <c r="CB841" s="24"/>
      <c r="CC841" s="24"/>
      <c r="CD841" s="24"/>
      <c r="CE841" s="24"/>
      <c r="CF841" s="24"/>
      <c r="CG841" s="24"/>
      <c r="CH841" s="24"/>
      <c r="CI841" s="24"/>
      <c r="CJ841" s="24"/>
      <c r="CK841" s="24"/>
      <c r="CL841" s="24"/>
      <c r="CM841" s="24"/>
      <c r="CN841" s="24"/>
      <c r="CO841" s="24"/>
      <c r="CP841" s="24"/>
      <c r="CQ841" s="24"/>
      <c r="CR841" s="24"/>
      <c r="CS841" s="24"/>
      <c r="CT841" s="24"/>
      <c r="CU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c r="BQ842" s="24"/>
      <c r="BR842" s="24"/>
      <c r="BS842" s="24"/>
      <c r="BT842" s="24"/>
      <c r="BU842" s="24"/>
      <c r="BV842" s="24"/>
      <c r="BW842" s="24"/>
      <c r="BX842" s="24"/>
      <c r="BY842" s="24"/>
      <c r="BZ842" s="24"/>
      <c r="CA842" s="24"/>
      <c r="CB842" s="24"/>
      <c r="CC842" s="24"/>
      <c r="CD842" s="24"/>
      <c r="CE842" s="24"/>
      <c r="CF842" s="24"/>
      <c r="CG842" s="24"/>
      <c r="CH842" s="24"/>
      <c r="CI842" s="24"/>
      <c r="CJ842" s="24"/>
      <c r="CK842" s="24"/>
      <c r="CL842" s="24"/>
      <c r="CM842" s="24"/>
      <c r="CN842" s="24"/>
      <c r="CO842" s="24"/>
      <c r="CP842" s="24"/>
      <c r="CQ842" s="24"/>
      <c r="CR842" s="24"/>
      <c r="CS842" s="24"/>
      <c r="CT842" s="24"/>
      <c r="CU842" s="24"/>
    </row>
    <row r="843">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24"/>
      <c r="CI843" s="24"/>
      <c r="CJ843" s="24"/>
      <c r="CK843" s="24"/>
      <c r="CL843" s="24"/>
      <c r="CM843" s="24"/>
      <c r="CN843" s="24"/>
      <c r="CO843" s="24"/>
      <c r="CP843" s="24"/>
      <c r="CQ843" s="24"/>
      <c r="CR843" s="24"/>
      <c r="CS843" s="24"/>
      <c r="CT843" s="24"/>
      <c r="CU843" s="24"/>
    </row>
    <row r="84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c r="BQ844" s="24"/>
      <c r="BR844" s="24"/>
      <c r="BS844" s="24"/>
      <c r="BT844" s="24"/>
      <c r="BU844" s="24"/>
      <c r="BV844" s="24"/>
      <c r="BW844" s="24"/>
      <c r="BX844" s="24"/>
      <c r="BY844" s="24"/>
      <c r="BZ844" s="24"/>
      <c r="CA844" s="24"/>
      <c r="CB844" s="24"/>
      <c r="CC844" s="24"/>
      <c r="CD844" s="24"/>
      <c r="CE844" s="24"/>
      <c r="CF844" s="24"/>
      <c r="CG844" s="24"/>
      <c r="CH844" s="24"/>
      <c r="CI844" s="24"/>
      <c r="CJ844" s="24"/>
      <c r="CK844" s="24"/>
      <c r="CL844" s="24"/>
      <c r="CM844" s="24"/>
      <c r="CN844" s="24"/>
      <c r="CO844" s="24"/>
      <c r="CP844" s="24"/>
      <c r="CQ844" s="24"/>
      <c r="CR844" s="24"/>
      <c r="CS844" s="24"/>
      <c r="CT844" s="24"/>
      <c r="CU844" s="24"/>
    </row>
    <row r="845">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c r="BT845" s="24"/>
      <c r="BU845" s="24"/>
      <c r="BV845" s="24"/>
      <c r="BW845" s="24"/>
      <c r="BX845" s="24"/>
      <c r="BY845" s="24"/>
      <c r="BZ845" s="24"/>
      <c r="CA845" s="24"/>
      <c r="CB845" s="24"/>
      <c r="CC845" s="24"/>
      <c r="CD845" s="24"/>
      <c r="CE845" s="24"/>
      <c r="CF845" s="24"/>
      <c r="CG845" s="24"/>
      <c r="CH845" s="24"/>
      <c r="CI845" s="24"/>
      <c r="CJ845" s="24"/>
      <c r="CK845" s="24"/>
      <c r="CL845" s="24"/>
      <c r="CM845" s="24"/>
      <c r="CN845" s="24"/>
      <c r="CO845" s="24"/>
      <c r="CP845" s="24"/>
      <c r="CQ845" s="24"/>
      <c r="CR845" s="24"/>
      <c r="CS845" s="24"/>
      <c r="CT845" s="24"/>
      <c r="CU845" s="24"/>
    </row>
    <row r="846">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c r="BQ846" s="24"/>
      <c r="BR846" s="24"/>
      <c r="BS846" s="24"/>
      <c r="BT846" s="24"/>
      <c r="BU846" s="24"/>
      <c r="BV846" s="24"/>
      <c r="BW846" s="24"/>
      <c r="BX846" s="24"/>
      <c r="BY846" s="24"/>
      <c r="BZ846" s="24"/>
      <c r="CA846" s="24"/>
      <c r="CB846" s="24"/>
      <c r="CC846" s="24"/>
      <c r="CD846" s="24"/>
      <c r="CE846" s="24"/>
      <c r="CF846" s="24"/>
      <c r="CG846" s="24"/>
      <c r="CH846" s="24"/>
      <c r="CI846" s="24"/>
      <c r="CJ846" s="24"/>
      <c r="CK846" s="24"/>
      <c r="CL846" s="24"/>
      <c r="CM846" s="24"/>
      <c r="CN846" s="24"/>
      <c r="CO846" s="24"/>
      <c r="CP846" s="24"/>
      <c r="CQ846" s="24"/>
      <c r="CR846" s="24"/>
      <c r="CS846" s="24"/>
      <c r="CT846" s="24"/>
      <c r="CU846" s="24"/>
    </row>
    <row r="847">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c r="BT847" s="24"/>
      <c r="BU847" s="24"/>
      <c r="BV847" s="24"/>
      <c r="BW847" s="24"/>
      <c r="BX847" s="24"/>
      <c r="BY847" s="24"/>
      <c r="BZ847" s="24"/>
      <c r="CA847" s="24"/>
      <c r="CB847" s="24"/>
      <c r="CC847" s="24"/>
      <c r="CD847" s="24"/>
      <c r="CE847" s="24"/>
      <c r="CF847" s="24"/>
      <c r="CG847" s="24"/>
      <c r="CH847" s="24"/>
      <c r="CI847" s="24"/>
      <c r="CJ847" s="24"/>
      <c r="CK847" s="24"/>
      <c r="CL847" s="24"/>
      <c r="CM847" s="24"/>
      <c r="CN847" s="24"/>
      <c r="CO847" s="24"/>
      <c r="CP847" s="24"/>
      <c r="CQ847" s="24"/>
      <c r="CR847" s="24"/>
      <c r="CS847" s="24"/>
      <c r="CT847" s="24"/>
      <c r="CU847" s="24"/>
    </row>
    <row r="848">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c r="BQ848" s="24"/>
      <c r="BR848" s="24"/>
      <c r="BS848" s="24"/>
      <c r="BT848" s="24"/>
      <c r="BU848" s="24"/>
      <c r="BV848" s="24"/>
      <c r="BW848" s="24"/>
      <c r="BX848" s="24"/>
      <c r="BY848" s="24"/>
      <c r="BZ848" s="24"/>
      <c r="CA848" s="24"/>
      <c r="CB848" s="24"/>
      <c r="CC848" s="24"/>
      <c r="CD848" s="24"/>
      <c r="CE848" s="24"/>
      <c r="CF848" s="24"/>
      <c r="CG848" s="24"/>
      <c r="CH848" s="24"/>
      <c r="CI848" s="24"/>
      <c r="CJ848" s="24"/>
      <c r="CK848" s="24"/>
      <c r="CL848" s="24"/>
      <c r="CM848" s="24"/>
      <c r="CN848" s="24"/>
      <c r="CO848" s="24"/>
      <c r="CP848" s="24"/>
      <c r="CQ848" s="24"/>
      <c r="CR848" s="24"/>
      <c r="CS848" s="24"/>
      <c r="CT848" s="24"/>
      <c r="CU848" s="24"/>
    </row>
    <row r="849">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c r="BT849" s="24"/>
      <c r="BU849" s="24"/>
      <c r="BV849" s="24"/>
      <c r="BW849" s="24"/>
      <c r="BX849" s="24"/>
      <c r="BY849" s="24"/>
      <c r="BZ849" s="24"/>
      <c r="CA849" s="24"/>
      <c r="CB849" s="24"/>
      <c r="CC849" s="24"/>
      <c r="CD849" s="24"/>
      <c r="CE849" s="24"/>
      <c r="CF849" s="24"/>
      <c r="CG849" s="24"/>
      <c r="CH849" s="24"/>
      <c r="CI849" s="24"/>
      <c r="CJ849" s="24"/>
      <c r="CK849" s="24"/>
      <c r="CL849" s="24"/>
      <c r="CM849" s="24"/>
      <c r="CN849" s="24"/>
      <c r="CO849" s="24"/>
      <c r="CP849" s="24"/>
      <c r="CQ849" s="24"/>
      <c r="CR849" s="24"/>
      <c r="CS849" s="24"/>
      <c r="CT849" s="24"/>
      <c r="CU849" s="24"/>
    </row>
    <row r="850">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c r="BQ850" s="24"/>
      <c r="BR850" s="24"/>
      <c r="BS850" s="24"/>
      <c r="BT850" s="24"/>
      <c r="BU850" s="24"/>
      <c r="BV850" s="24"/>
      <c r="BW850" s="24"/>
      <c r="BX850" s="24"/>
      <c r="BY850" s="24"/>
      <c r="BZ850" s="24"/>
      <c r="CA850" s="24"/>
      <c r="CB850" s="24"/>
      <c r="CC850" s="24"/>
      <c r="CD850" s="24"/>
      <c r="CE850" s="24"/>
      <c r="CF850" s="24"/>
      <c r="CG850" s="24"/>
      <c r="CH850" s="24"/>
      <c r="CI850" s="24"/>
      <c r="CJ850" s="24"/>
      <c r="CK850" s="24"/>
      <c r="CL850" s="24"/>
      <c r="CM850" s="24"/>
      <c r="CN850" s="24"/>
      <c r="CO850" s="24"/>
      <c r="CP850" s="24"/>
      <c r="CQ850" s="24"/>
      <c r="CR850" s="24"/>
      <c r="CS850" s="24"/>
      <c r="CT850" s="24"/>
      <c r="CU850" s="24"/>
    </row>
    <row r="851">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c r="BT851" s="24"/>
      <c r="BU851" s="24"/>
      <c r="BV851" s="24"/>
      <c r="BW851" s="24"/>
      <c r="BX851" s="24"/>
      <c r="BY851" s="24"/>
      <c r="BZ851" s="24"/>
      <c r="CA851" s="24"/>
      <c r="CB851" s="24"/>
      <c r="CC851" s="24"/>
      <c r="CD851" s="24"/>
      <c r="CE851" s="24"/>
      <c r="CF851" s="24"/>
      <c r="CG851" s="24"/>
      <c r="CH851" s="24"/>
      <c r="CI851" s="24"/>
      <c r="CJ851" s="24"/>
      <c r="CK851" s="24"/>
      <c r="CL851" s="24"/>
      <c r="CM851" s="24"/>
      <c r="CN851" s="24"/>
      <c r="CO851" s="24"/>
      <c r="CP851" s="24"/>
      <c r="CQ851" s="24"/>
      <c r="CR851" s="24"/>
      <c r="CS851" s="24"/>
      <c r="CT851" s="24"/>
      <c r="CU851" s="24"/>
    </row>
    <row r="852">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24"/>
      <c r="BR852" s="24"/>
      <c r="BS852" s="24"/>
      <c r="BT852" s="24"/>
      <c r="BU852" s="24"/>
      <c r="BV852" s="24"/>
      <c r="BW852" s="24"/>
      <c r="BX852" s="24"/>
      <c r="BY852" s="24"/>
      <c r="BZ852" s="24"/>
      <c r="CA852" s="24"/>
      <c r="CB852" s="24"/>
      <c r="CC852" s="24"/>
      <c r="CD852" s="24"/>
      <c r="CE852" s="24"/>
      <c r="CF852" s="24"/>
      <c r="CG852" s="24"/>
      <c r="CH852" s="24"/>
      <c r="CI852" s="24"/>
      <c r="CJ852" s="24"/>
      <c r="CK852" s="24"/>
      <c r="CL852" s="24"/>
      <c r="CM852" s="24"/>
      <c r="CN852" s="24"/>
      <c r="CO852" s="24"/>
      <c r="CP852" s="24"/>
      <c r="CQ852" s="24"/>
      <c r="CR852" s="24"/>
      <c r="CS852" s="24"/>
      <c r="CT852" s="24"/>
      <c r="CU852" s="24"/>
    </row>
    <row r="853">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c r="BT853" s="24"/>
      <c r="BU853" s="24"/>
      <c r="BV853" s="24"/>
      <c r="BW853" s="24"/>
      <c r="BX853" s="24"/>
      <c r="BY853" s="24"/>
      <c r="BZ853" s="24"/>
      <c r="CA853" s="24"/>
      <c r="CB853" s="24"/>
      <c r="CC853" s="24"/>
      <c r="CD853" s="24"/>
      <c r="CE853" s="24"/>
      <c r="CF853" s="24"/>
      <c r="CG853" s="24"/>
      <c r="CH853" s="24"/>
      <c r="CI853" s="24"/>
      <c r="CJ853" s="24"/>
      <c r="CK853" s="24"/>
      <c r="CL853" s="24"/>
      <c r="CM853" s="24"/>
      <c r="CN853" s="24"/>
      <c r="CO853" s="24"/>
      <c r="CP853" s="24"/>
      <c r="CQ853" s="24"/>
      <c r="CR853" s="24"/>
      <c r="CS853" s="24"/>
      <c r="CT853" s="24"/>
      <c r="CU853" s="24"/>
    </row>
    <row r="85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c r="BQ854" s="24"/>
      <c r="BR854" s="24"/>
      <c r="BS854" s="24"/>
      <c r="BT854" s="24"/>
      <c r="BU854" s="24"/>
      <c r="BV854" s="24"/>
      <c r="BW854" s="24"/>
      <c r="BX854" s="24"/>
      <c r="BY854" s="24"/>
      <c r="BZ854" s="24"/>
      <c r="CA854" s="24"/>
      <c r="CB854" s="24"/>
      <c r="CC854" s="24"/>
      <c r="CD854" s="24"/>
      <c r="CE854" s="24"/>
      <c r="CF854" s="24"/>
      <c r="CG854" s="24"/>
      <c r="CH854" s="24"/>
      <c r="CI854" s="24"/>
      <c r="CJ854" s="24"/>
      <c r="CK854" s="24"/>
      <c r="CL854" s="24"/>
      <c r="CM854" s="24"/>
      <c r="CN854" s="24"/>
      <c r="CO854" s="24"/>
      <c r="CP854" s="24"/>
      <c r="CQ854" s="24"/>
      <c r="CR854" s="24"/>
      <c r="CS854" s="24"/>
      <c r="CT854" s="24"/>
      <c r="CU854" s="24"/>
    </row>
    <row r="855">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c r="BT855" s="24"/>
      <c r="BU855" s="24"/>
      <c r="BV855" s="24"/>
      <c r="BW855" s="24"/>
      <c r="BX855" s="24"/>
      <c r="BY855" s="24"/>
      <c r="BZ855" s="24"/>
      <c r="CA855" s="24"/>
      <c r="CB855" s="24"/>
      <c r="CC855" s="24"/>
      <c r="CD855" s="24"/>
      <c r="CE855" s="24"/>
      <c r="CF855" s="24"/>
      <c r="CG855" s="24"/>
      <c r="CH855" s="24"/>
      <c r="CI855" s="24"/>
      <c r="CJ855" s="24"/>
      <c r="CK855" s="24"/>
      <c r="CL855" s="24"/>
      <c r="CM855" s="24"/>
      <c r="CN855" s="24"/>
      <c r="CO855" s="24"/>
      <c r="CP855" s="24"/>
      <c r="CQ855" s="24"/>
      <c r="CR855" s="24"/>
      <c r="CS855" s="24"/>
      <c r="CT855" s="24"/>
      <c r="CU855" s="24"/>
    </row>
    <row r="856">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c r="BQ856" s="24"/>
      <c r="BR856" s="24"/>
      <c r="BS856" s="24"/>
      <c r="BT856" s="24"/>
      <c r="BU856" s="24"/>
      <c r="BV856" s="24"/>
      <c r="BW856" s="24"/>
      <c r="BX856" s="24"/>
      <c r="BY856" s="24"/>
      <c r="BZ856" s="24"/>
      <c r="CA856" s="24"/>
      <c r="CB856" s="24"/>
      <c r="CC856" s="24"/>
      <c r="CD856" s="24"/>
      <c r="CE856" s="24"/>
      <c r="CF856" s="24"/>
      <c r="CG856" s="24"/>
      <c r="CH856" s="24"/>
      <c r="CI856" s="24"/>
      <c r="CJ856" s="24"/>
      <c r="CK856" s="24"/>
      <c r="CL856" s="24"/>
      <c r="CM856" s="24"/>
      <c r="CN856" s="24"/>
      <c r="CO856" s="24"/>
      <c r="CP856" s="24"/>
      <c r="CQ856" s="24"/>
      <c r="CR856" s="24"/>
      <c r="CS856" s="24"/>
      <c r="CT856" s="24"/>
      <c r="CU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c r="BT857" s="24"/>
      <c r="BU857" s="24"/>
      <c r="BV857" s="24"/>
      <c r="BW857" s="24"/>
      <c r="BX857" s="24"/>
      <c r="BY857" s="24"/>
      <c r="BZ857" s="24"/>
      <c r="CA857" s="24"/>
      <c r="CB857" s="24"/>
      <c r="CC857" s="24"/>
      <c r="CD857" s="24"/>
      <c r="CE857" s="24"/>
      <c r="CF857" s="24"/>
      <c r="CG857" s="24"/>
      <c r="CH857" s="24"/>
      <c r="CI857" s="24"/>
      <c r="CJ857" s="24"/>
      <c r="CK857" s="24"/>
      <c r="CL857" s="24"/>
      <c r="CM857" s="24"/>
      <c r="CN857" s="24"/>
      <c r="CO857" s="24"/>
      <c r="CP857" s="24"/>
      <c r="CQ857" s="24"/>
      <c r="CR857" s="24"/>
      <c r="CS857" s="24"/>
      <c r="CT857" s="24"/>
      <c r="CU857" s="24"/>
    </row>
    <row r="858">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c r="BQ858" s="24"/>
      <c r="BR858" s="24"/>
      <c r="BS858" s="24"/>
      <c r="BT858" s="24"/>
      <c r="BU858" s="24"/>
      <c r="BV858" s="24"/>
      <c r="BW858" s="24"/>
      <c r="BX858" s="24"/>
      <c r="BY858" s="24"/>
      <c r="BZ858" s="24"/>
      <c r="CA858" s="24"/>
      <c r="CB858" s="24"/>
      <c r="CC858" s="24"/>
      <c r="CD858" s="24"/>
      <c r="CE858" s="24"/>
      <c r="CF858" s="24"/>
      <c r="CG858" s="24"/>
      <c r="CH858" s="24"/>
      <c r="CI858" s="24"/>
      <c r="CJ858" s="24"/>
      <c r="CK858" s="24"/>
      <c r="CL858" s="24"/>
      <c r="CM858" s="24"/>
      <c r="CN858" s="24"/>
      <c r="CO858" s="24"/>
      <c r="CP858" s="24"/>
      <c r="CQ858" s="24"/>
      <c r="CR858" s="24"/>
      <c r="CS858" s="24"/>
      <c r="CT858" s="24"/>
      <c r="CU858" s="24"/>
    </row>
    <row r="859">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c r="BT859" s="24"/>
      <c r="BU859" s="24"/>
      <c r="BV859" s="24"/>
      <c r="BW859" s="24"/>
      <c r="BX859" s="24"/>
      <c r="BY859" s="24"/>
      <c r="BZ859" s="24"/>
      <c r="CA859" s="24"/>
      <c r="CB859" s="24"/>
      <c r="CC859" s="24"/>
      <c r="CD859" s="24"/>
      <c r="CE859" s="24"/>
      <c r="CF859" s="24"/>
      <c r="CG859" s="24"/>
      <c r="CH859" s="24"/>
      <c r="CI859" s="24"/>
      <c r="CJ859" s="24"/>
      <c r="CK859" s="24"/>
      <c r="CL859" s="24"/>
      <c r="CM859" s="24"/>
      <c r="CN859" s="24"/>
      <c r="CO859" s="24"/>
      <c r="CP859" s="24"/>
      <c r="CQ859" s="24"/>
      <c r="CR859" s="24"/>
      <c r="CS859" s="24"/>
      <c r="CT859" s="24"/>
      <c r="CU859" s="24"/>
    </row>
    <row r="860">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c r="BQ860" s="24"/>
      <c r="BR860" s="24"/>
      <c r="BS860" s="24"/>
      <c r="BT860" s="24"/>
      <c r="BU860" s="24"/>
      <c r="BV860" s="24"/>
      <c r="BW860" s="24"/>
      <c r="BX860" s="24"/>
      <c r="BY860" s="24"/>
      <c r="BZ860" s="24"/>
      <c r="CA860" s="24"/>
      <c r="CB860" s="24"/>
      <c r="CC860" s="24"/>
      <c r="CD860" s="24"/>
      <c r="CE860" s="24"/>
      <c r="CF860" s="24"/>
      <c r="CG860" s="24"/>
      <c r="CH860" s="24"/>
      <c r="CI860" s="24"/>
      <c r="CJ860" s="24"/>
      <c r="CK860" s="24"/>
      <c r="CL860" s="24"/>
      <c r="CM860" s="24"/>
      <c r="CN860" s="24"/>
      <c r="CO860" s="24"/>
      <c r="CP860" s="24"/>
      <c r="CQ860" s="24"/>
      <c r="CR860" s="24"/>
      <c r="CS860" s="24"/>
      <c r="CT860" s="24"/>
      <c r="CU860" s="24"/>
    </row>
    <row r="861">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c r="BT861" s="24"/>
      <c r="BU861" s="24"/>
      <c r="BV861" s="24"/>
      <c r="BW861" s="24"/>
      <c r="BX861" s="24"/>
      <c r="BY861" s="24"/>
      <c r="BZ861" s="24"/>
      <c r="CA861" s="24"/>
      <c r="CB861" s="24"/>
      <c r="CC861" s="24"/>
      <c r="CD861" s="24"/>
      <c r="CE861" s="24"/>
      <c r="CF861" s="24"/>
      <c r="CG861" s="24"/>
      <c r="CH861" s="24"/>
      <c r="CI861" s="24"/>
      <c r="CJ861" s="24"/>
      <c r="CK861" s="24"/>
      <c r="CL861" s="24"/>
      <c r="CM861" s="24"/>
      <c r="CN861" s="24"/>
      <c r="CO861" s="24"/>
      <c r="CP861" s="24"/>
      <c r="CQ861" s="24"/>
      <c r="CR861" s="24"/>
      <c r="CS861" s="24"/>
      <c r="CT861" s="24"/>
      <c r="CU861" s="24"/>
    </row>
    <row r="862">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c r="BQ862" s="24"/>
      <c r="BR862" s="24"/>
      <c r="BS862" s="24"/>
      <c r="BT862" s="24"/>
      <c r="BU862" s="24"/>
      <c r="BV862" s="24"/>
      <c r="BW862" s="24"/>
      <c r="BX862" s="24"/>
      <c r="BY862" s="24"/>
      <c r="BZ862" s="24"/>
      <c r="CA862" s="24"/>
      <c r="CB862" s="24"/>
      <c r="CC862" s="24"/>
      <c r="CD862" s="24"/>
      <c r="CE862" s="24"/>
      <c r="CF862" s="24"/>
      <c r="CG862" s="24"/>
      <c r="CH862" s="24"/>
      <c r="CI862" s="24"/>
      <c r="CJ862" s="24"/>
      <c r="CK862" s="24"/>
      <c r="CL862" s="24"/>
      <c r="CM862" s="24"/>
      <c r="CN862" s="24"/>
      <c r="CO862" s="24"/>
      <c r="CP862" s="24"/>
      <c r="CQ862" s="24"/>
      <c r="CR862" s="24"/>
      <c r="CS862" s="24"/>
      <c r="CT862" s="24"/>
      <c r="CU862" s="24"/>
    </row>
    <row r="863">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c r="BT863" s="24"/>
      <c r="BU863" s="24"/>
      <c r="BV863" s="24"/>
      <c r="BW863" s="24"/>
      <c r="BX863" s="24"/>
      <c r="BY863" s="24"/>
      <c r="BZ863" s="24"/>
      <c r="CA863" s="24"/>
      <c r="CB863" s="24"/>
      <c r="CC863" s="24"/>
      <c r="CD863" s="24"/>
      <c r="CE863" s="24"/>
      <c r="CF863" s="24"/>
      <c r="CG863" s="24"/>
      <c r="CH863" s="24"/>
      <c r="CI863" s="24"/>
      <c r="CJ863" s="24"/>
      <c r="CK863" s="24"/>
      <c r="CL863" s="24"/>
      <c r="CM863" s="24"/>
      <c r="CN863" s="24"/>
      <c r="CO863" s="24"/>
      <c r="CP863" s="24"/>
      <c r="CQ863" s="24"/>
      <c r="CR863" s="24"/>
      <c r="CS863" s="24"/>
      <c r="CT863" s="24"/>
      <c r="CU863" s="24"/>
    </row>
    <row r="86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24"/>
      <c r="BR864" s="24"/>
      <c r="BS864" s="24"/>
      <c r="BT864" s="24"/>
      <c r="BU864" s="24"/>
      <c r="BV864" s="24"/>
      <c r="BW864" s="24"/>
      <c r="BX864" s="24"/>
      <c r="BY864" s="24"/>
      <c r="BZ864" s="24"/>
      <c r="CA864" s="24"/>
      <c r="CB864" s="24"/>
      <c r="CC864" s="24"/>
      <c r="CD864" s="24"/>
      <c r="CE864" s="24"/>
      <c r="CF864" s="24"/>
      <c r="CG864" s="24"/>
      <c r="CH864" s="24"/>
      <c r="CI864" s="24"/>
      <c r="CJ864" s="24"/>
      <c r="CK864" s="24"/>
      <c r="CL864" s="24"/>
      <c r="CM864" s="24"/>
      <c r="CN864" s="24"/>
      <c r="CO864" s="24"/>
      <c r="CP864" s="24"/>
      <c r="CQ864" s="24"/>
      <c r="CR864" s="24"/>
      <c r="CS864" s="24"/>
      <c r="CT864" s="24"/>
      <c r="CU864" s="24"/>
    </row>
    <row r="865">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24"/>
      <c r="CJ865" s="24"/>
      <c r="CK865" s="24"/>
      <c r="CL865" s="24"/>
      <c r="CM865" s="24"/>
      <c r="CN865" s="24"/>
      <c r="CO865" s="24"/>
      <c r="CP865" s="24"/>
      <c r="CQ865" s="24"/>
      <c r="CR865" s="24"/>
      <c r="CS865" s="24"/>
      <c r="CT865" s="24"/>
      <c r="CU865" s="24"/>
    </row>
    <row r="866">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c r="BQ866" s="24"/>
      <c r="BR866" s="24"/>
      <c r="BS866" s="24"/>
      <c r="BT866" s="24"/>
      <c r="BU866" s="24"/>
      <c r="BV866" s="24"/>
      <c r="BW866" s="24"/>
      <c r="BX866" s="24"/>
      <c r="BY866" s="24"/>
      <c r="BZ866" s="24"/>
      <c r="CA866" s="24"/>
      <c r="CB866" s="24"/>
      <c r="CC866" s="24"/>
      <c r="CD866" s="24"/>
      <c r="CE866" s="24"/>
      <c r="CF866" s="24"/>
      <c r="CG866" s="24"/>
      <c r="CH866" s="24"/>
      <c r="CI866" s="24"/>
      <c r="CJ866" s="24"/>
      <c r="CK866" s="24"/>
      <c r="CL866" s="24"/>
      <c r="CM866" s="24"/>
      <c r="CN866" s="24"/>
      <c r="CO866" s="24"/>
      <c r="CP866" s="24"/>
      <c r="CQ866" s="24"/>
      <c r="CR866" s="24"/>
      <c r="CS866" s="24"/>
      <c r="CT866" s="24"/>
      <c r="CU866" s="24"/>
    </row>
    <row r="867">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c r="BT867" s="24"/>
      <c r="BU867" s="24"/>
      <c r="BV867" s="24"/>
      <c r="BW867" s="24"/>
      <c r="BX867" s="24"/>
      <c r="BY867" s="24"/>
      <c r="BZ867" s="24"/>
      <c r="CA867" s="24"/>
      <c r="CB867" s="24"/>
      <c r="CC867" s="24"/>
      <c r="CD867" s="24"/>
      <c r="CE867" s="24"/>
      <c r="CF867" s="24"/>
      <c r="CG867" s="24"/>
      <c r="CH867" s="24"/>
      <c r="CI867" s="24"/>
      <c r="CJ867" s="24"/>
      <c r="CK867" s="24"/>
      <c r="CL867" s="24"/>
      <c r="CM867" s="24"/>
      <c r="CN867" s="24"/>
      <c r="CO867" s="24"/>
      <c r="CP867" s="24"/>
      <c r="CQ867" s="24"/>
      <c r="CR867" s="24"/>
      <c r="CS867" s="24"/>
      <c r="CT867" s="24"/>
      <c r="CU867" s="24"/>
    </row>
    <row r="868">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c r="BQ868" s="24"/>
      <c r="BR868" s="24"/>
      <c r="BS868" s="24"/>
      <c r="BT868" s="24"/>
      <c r="BU868" s="24"/>
      <c r="BV868" s="24"/>
      <c r="BW868" s="24"/>
      <c r="BX868" s="24"/>
      <c r="BY868" s="24"/>
      <c r="BZ868" s="24"/>
      <c r="CA868" s="24"/>
      <c r="CB868" s="24"/>
      <c r="CC868" s="24"/>
      <c r="CD868" s="24"/>
      <c r="CE868" s="24"/>
      <c r="CF868" s="24"/>
      <c r="CG868" s="24"/>
      <c r="CH868" s="24"/>
      <c r="CI868" s="24"/>
      <c r="CJ868" s="24"/>
      <c r="CK868" s="24"/>
      <c r="CL868" s="24"/>
      <c r="CM868" s="24"/>
      <c r="CN868" s="24"/>
      <c r="CO868" s="24"/>
      <c r="CP868" s="24"/>
      <c r="CQ868" s="24"/>
      <c r="CR868" s="24"/>
      <c r="CS868" s="24"/>
      <c r="CT868" s="24"/>
      <c r="CU868" s="24"/>
    </row>
    <row r="869">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c r="BT869" s="24"/>
      <c r="BU869" s="24"/>
      <c r="BV869" s="24"/>
      <c r="BW869" s="24"/>
      <c r="BX869" s="24"/>
      <c r="BY869" s="24"/>
      <c r="BZ869" s="24"/>
      <c r="CA869" s="24"/>
      <c r="CB869" s="24"/>
      <c r="CC869" s="24"/>
      <c r="CD869" s="24"/>
      <c r="CE869" s="24"/>
      <c r="CF869" s="24"/>
      <c r="CG869" s="24"/>
      <c r="CH869" s="24"/>
      <c r="CI869" s="24"/>
      <c r="CJ869" s="24"/>
      <c r="CK869" s="24"/>
      <c r="CL869" s="24"/>
      <c r="CM869" s="24"/>
      <c r="CN869" s="24"/>
      <c r="CO869" s="24"/>
      <c r="CP869" s="24"/>
      <c r="CQ869" s="24"/>
      <c r="CR869" s="24"/>
      <c r="CS869" s="24"/>
      <c r="CT869" s="24"/>
      <c r="CU869" s="24"/>
    </row>
    <row r="870">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c r="BQ870" s="24"/>
      <c r="BR870" s="24"/>
      <c r="BS870" s="24"/>
      <c r="BT870" s="24"/>
      <c r="BU870" s="24"/>
      <c r="BV870" s="24"/>
      <c r="BW870" s="24"/>
      <c r="BX870" s="24"/>
      <c r="BY870" s="24"/>
      <c r="BZ870" s="24"/>
      <c r="CA870" s="24"/>
      <c r="CB870" s="24"/>
      <c r="CC870" s="24"/>
      <c r="CD870" s="24"/>
      <c r="CE870" s="24"/>
      <c r="CF870" s="24"/>
      <c r="CG870" s="24"/>
      <c r="CH870" s="24"/>
      <c r="CI870" s="24"/>
      <c r="CJ870" s="24"/>
      <c r="CK870" s="24"/>
      <c r="CL870" s="24"/>
      <c r="CM870" s="24"/>
      <c r="CN870" s="24"/>
      <c r="CO870" s="24"/>
      <c r="CP870" s="24"/>
      <c r="CQ870" s="24"/>
      <c r="CR870" s="24"/>
      <c r="CS870" s="24"/>
      <c r="CT870" s="24"/>
      <c r="CU870" s="24"/>
    </row>
    <row r="871">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c r="BT871" s="24"/>
      <c r="BU871" s="24"/>
      <c r="BV871" s="24"/>
      <c r="BW871" s="24"/>
      <c r="BX871" s="24"/>
      <c r="BY871" s="24"/>
      <c r="BZ871" s="24"/>
      <c r="CA871" s="24"/>
      <c r="CB871" s="24"/>
      <c r="CC871" s="24"/>
      <c r="CD871" s="24"/>
      <c r="CE871" s="24"/>
      <c r="CF871" s="24"/>
      <c r="CG871" s="24"/>
      <c r="CH871" s="24"/>
      <c r="CI871" s="24"/>
      <c r="CJ871" s="24"/>
      <c r="CK871" s="24"/>
      <c r="CL871" s="24"/>
      <c r="CM871" s="24"/>
      <c r="CN871" s="24"/>
      <c r="CO871" s="24"/>
      <c r="CP871" s="24"/>
      <c r="CQ871" s="24"/>
      <c r="CR871" s="24"/>
      <c r="CS871" s="24"/>
      <c r="CT871" s="24"/>
      <c r="CU871" s="24"/>
    </row>
    <row r="872">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c r="BQ872" s="24"/>
      <c r="BR872" s="24"/>
      <c r="BS872" s="24"/>
      <c r="BT872" s="24"/>
      <c r="BU872" s="24"/>
      <c r="BV872" s="24"/>
      <c r="BW872" s="24"/>
      <c r="BX872" s="24"/>
      <c r="BY872" s="24"/>
      <c r="BZ872" s="24"/>
      <c r="CA872" s="24"/>
      <c r="CB872" s="24"/>
      <c r="CC872" s="24"/>
      <c r="CD872" s="24"/>
      <c r="CE872" s="24"/>
      <c r="CF872" s="24"/>
      <c r="CG872" s="24"/>
      <c r="CH872" s="24"/>
      <c r="CI872" s="24"/>
      <c r="CJ872" s="24"/>
      <c r="CK872" s="24"/>
      <c r="CL872" s="24"/>
      <c r="CM872" s="24"/>
      <c r="CN872" s="24"/>
      <c r="CO872" s="24"/>
      <c r="CP872" s="24"/>
      <c r="CQ872" s="24"/>
      <c r="CR872" s="24"/>
      <c r="CS872" s="24"/>
      <c r="CT872" s="24"/>
      <c r="CU872" s="24"/>
    </row>
    <row r="873">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c r="BT873" s="24"/>
      <c r="BU873" s="24"/>
      <c r="BV873" s="24"/>
      <c r="BW873" s="24"/>
      <c r="BX873" s="24"/>
      <c r="BY873" s="24"/>
      <c r="BZ873" s="24"/>
      <c r="CA873" s="24"/>
      <c r="CB873" s="24"/>
      <c r="CC873" s="24"/>
      <c r="CD873" s="24"/>
      <c r="CE873" s="24"/>
      <c r="CF873" s="24"/>
      <c r="CG873" s="24"/>
      <c r="CH873" s="24"/>
      <c r="CI873" s="24"/>
      <c r="CJ873" s="24"/>
      <c r="CK873" s="24"/>
      <c r="CL873" s="24"/>
      <c r="CM873" s="24"/>
      <c r="CN873" s="24"/>
      <c r="CO873" s="24"/>
      <c r="CP873" s="24"/>
      <c r="CQ873" s="24"/>
      <c r="CR873" s="24"/>
      <c r="CS873" s="24"/>
      <c r="CT873" s="24"/>
      <c r="CU873" s="24"/>
    </row>
    <row r="87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c r="BQ874" s="24"/>
      <c r="BR874" s="24"/>
      <c r="BS874" s="24"/>
      <c r="BT874" s="24"/>
      <c r="BU874" s="24"/>
      <c r="BV874" s="24"/>
      <c r="BW874" s="24"/>
      <c r="BX874" s="24"/>
      <c r="BY874" s="24"/>
      <c r="BZ874" s="24"/>
      <c r="CA874" s="24"/>
      <c r="CB874" s="24"/>
      <c r="CC874" s="24"/>
      <c r="CD874" s="24"/>
      <c r="CE874" s="24"/>
      <c r="CF874" s="24"/>
      <c r="CG874" s="24"/>
      <c r="CH874" s="24"/>
      <c r="CI874" s="24"/>
      <c r="CJ874" s="24"/>
      <c r="CK874" s="24"/>
      <c r="CL874" s="24"/>
      <c r="CM874" s="24"/>
      <c r="CN874" s="24"/>
      <c r="CO874" s="24"/>
      <c r="CP874" s="24"/>
      <c r="CQ874" s="24"/>
      <c r="CR874" s="24"/>
      <c r="CS874" s="24"/>
      <c r="CT874" s="24"/>
      <c r="CU874" s="24"/>
    </row>
    <row r="875">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c r="BT875" s="24"/>
      <c r="BU875" s="24"/>
      <c r="BV875" s="24"/>
      <c r="BW875" s="24"/>
      <c r="BX875" s="24"/>
      <c r="BY875" s="24"/>
      <c r="BZ875" s="24"/>
      <c r="CA875" s="24"/>
      <c r="CB875" s="24"/>
      <c r="CC875" s="24"/>
      <c r="CD875" s="24"/>
      <c r="CE875" s="24"/>
      <c r="CF875" s="24"/>
      <c r="CG875" s="24"/>
      <c r="CH875" s="24"/>
      <c r="CI875" s="24"/>
      <c r="CJ875" s="24"/>
      <c r="CK875" s="24"/>
      <c r="CL875" s="24"/>
      <c r="CM875" s="24"/>
      <c r="CN875" s="24"/>
      <c r="CO875" s="24"/>
      <c r="CP875" s="24"/>
      <c r="CQ875" s="24"/>
      <c r="CR875" s="24"/>
      <c r="CS875" s="24"/>
      <c r="CT875" s="24"/>
      <c r="CU875" s="24"/>
    </row>
    <row r="876">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c r="BQ876" s="24"/>
      <c r="BR876" s="24"/>
      <c r="BS876" s="24"/>
      <c r="BT876" s="24"/>
      <c r="BU876" s="24"/>
      <c r="BV876" s="24"/>
      <c r="BW876" s="24"/>
      <c r="BX876" s="24"/>
      <c r="BY876" s="24"/>
      <c r="BZ876" s="24"/>
      <c r="CA876" s="24"/>
      <c r="CB876" s="24"/>
      <c r="CC876" s="24"/>
      <c r="CD876" s="24"/>
      <c r="CE876" s="24"/>
      <c r="CF876" s="24"/>
      <c r="CG876" s="24"/>
      <c r="CH876" s="24"/>
      <c r="CI876" s="24"/>
      <c r="CJ876" s="24"/>
      <c r="CK876" s="24"/>
      <c r="CL876" s="24"/>
      <c r="CM876" s="24"/>
      <c r="CN876" s="24"/>
      <c r="CO876" s="24"/>
      <c r="CP876" s="24"/>
      <c r="CQ876" s="24"/>
      <c r="CR876" s="24"/>
      <c r="CS876" s="24"/>
      <c r="CT876" s="24"/>
      <c r="CU876" s="24"/>
    </row>
    <row r="877">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c r="BT877" s="24"/>
      <c r="BU877" s="24"/>
      <c r="BV877" s="24"/>
      <c r="BW877" s="24"/>
      <c r="BX877" s="24"/>
      <c r="BY877" s="24"/>
      <c r="BZ877" s="24"/>
      <c r="CA877" s="24"/>
      <c r="CB877" s="24"/>
      <c r="CC877" s="24"/>
      <c r="CD877" s="24"/>
      <c r="CE877" s="24"/>
      <c r="CF877" s="24"/>
      <c r="CG877" s="24"/>
      <c r="CH877" s="24"/>
      <c r="CI877" s="24"/>
      <c r="CJ877" s="24"/>
      <c r="CK877" s="24"/>
      <c r="CL877" s="24"/>
      <c r="CM877" s="24"/>
      <c r="CN877" s="24"/>
      <c r="CO877" s="24"/>
      <c r="CP877" s="24"/>
      <c r="CQ877" s="24"/>
      <c r="CR877" s="24"/>
      <c r="CS877" s="24"/>
      <c r="CT877" s="24"/>
      <c r="CU877" s="24"/>
    </row>
    <row r="878">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c r="BQ878" s="24"/>
      <c r="BR878" s="24"/>
      <c r="BS878" s="24"/>
      <c r="BT878" s="24"/>
      <c r="BU878" s="24"/>
      <c r="BV878" s="24"/>
      <c r="BW878" s="24"/>
      <c r="BX878" s="24"/>
      <c r="BY878" s="24"/>
      <c r="BZ878" s="24"/>
      <c r="CA878" s="24"/>
      <c r="CB878" s="24"/>
      <c r="CC878" s="24"/>
      <c r="CD878" s="24"/>
      <c r="CE878" s="24"/>
      <c r="CF878" s="24"/>
      <c r="CG878" s="24"/>
      <c r="CH878" s="24"/>
      <c r="CI878" s="24"/>
      <c r="CJ878" s="24"/>
      <c r="CK878" s="24"/>
      <c r="CL878" s="24"/>
      <c r="CM878" s="24"/>
      <c r="CN878" s="24"/>
      <c r="CO878" s="24"/>
      <c r="CP878" s="24"/>
      <c r="CQ878" s="24"/>
      <c r="CR878" s="24"/>
      <c r="CS878" s="24"/>
      <c r="CT878" s="24"/>
      <c r="CU878" s="24"/>
    </row>
    <row r="879">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c r="BT879" s="24"/>
      <c r="BU879" s="24"/>
      <c r="BV879" s="24"/>
      <c r="BW879" s="24"/>
      <c r="BX879" s="24"/>
      <c r="BY879" s="24"/>
      <c r="BZ879" s="24"/>
      <c r="CA879" s="24"/>
      <c r="CB879" s="24"/>
      <c r="CC879" s="24"/>
      <c r="CD879" s="24"/>
      <c r="CE879" s="24"/>
      <c r="CF879" s="24"/>
      <c r="CG879" s="24"/>
      <c r="CH879" s="24"/>
      <c r="CI879" s="24"/>
      <c r="CJ879" s="24"/>
      <c r="CK879" s="24"/>
      <c r="CL879" s="24"/>
      <c r="CM879" s="24"/>
      <c r="CN879" s="24"/>
      <c r="CO879" s="24"/>
      <c r="CP879" s="24"/>
      <c r="CQ879" s="24"/>
      <c r="CR879" s="24"/>
      <c r="CS879" s="24"/>
      <c r="CT879" s="24"/>
      <c r="CU879" s="24"/>
    </row>
    <row r="880">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c r="BQ880" s="24"/>
      <c r="BR880" s="24"/>
      <c r="BS880" s="24"/>
      <c r="BT880" s="24"/>
      <c r="BU880" s="24"/>
      <c r="BV880" s="24"/>
      <c r="BW880" s="24"/>
      <c r="BX880" s="24"/>
      <c r="BY880" s="24"/>
      <c r="BZ880" s="24"/>
      <c r="CA880" s="24"/>
      <c r="CB880" s="24"/>
      <c r="CC880" s="24"/>
      <c r="CD880" s="24"/>
      <c r="CE880" s="24"/>
      <c r="CF880" s="24"/>
      <c r="CG880" s="24"/>
      <c r="CH880" s="24"/>
      <c r="CI880" s="24"/>
      <c r="CJ880" s="24"/>
      <c r="CK880" s="24"/>
      <c r="CL880" s="24"/>
      <c r="CM880" s="24"/>
      <c r="CN880" s="24"/>
      <c r="CO880" s="24"/>
      <c r="CP880" s="24"/>
      <c r="CQ880" s="24"/>
      <c r="CR880" s="24"/>
      <c r="CS880" s="24"/>
      <c r="CT880" s="24"/>
      <c r="CU880" s="24"/>
    </row>
    <row r="881">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c r="BT881" s="24"/>
      <c r="BU881" s="24"/>
      <c r="BV881" s="24"/>
      <c r="BW881" s="24"/>
      <c r="BX881" s="24"/>
      <c r="BY881" s="24"/>
      <c r="BZ881" s="24"/>
      <c r="CA881" s="24"/>
      <c r="CB881" s="24"/>
      <c r="CC881" s="24"/>
      <c r="CD881" s="24"/>
      <c r="CE881" s="24"/>
      <c r="CF881" s="24"/>
      <c r="CG881" s="24"/>
      <c r="CH881" s="24"/>
      <c r="CI881" s="24"/>
      <c r="CJ881" s="24"/>
      <c r="CK881" s="24"/>
      <c r="CL881" s="24"/>
      <c r="CM881" s="24"/>
      <c r="CN881" s="24"/>
      <c r="CO881" s="24"/>
      <c r="CP881" s="24"/>
      <c r="CQ881" s="24"/>
      <c r="CR881" s="24"/>
      <c r="CS881" s="24"/>
      <c r="CT881" s="24"/>
      <c r="CU881" s="24"/>
    </row>
    <row r="882">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c r="BQ882" s="24"/>
      <c r="BR882" s="24"/>
      <c r="BS882" s="24"/>
      <c r="BT882" s="24"/>
      <c r="BU882" s="24"/>
      <c r="BV882" s="24"/>
      <c r="BW882" s="24"/>
      <c r="BX882" s="24"/>
      <c r="BY882" s="24"/>
      <c r="BZ882" s="24"/>
      <c r="CA882" s="24"/>
      <c r="CB882" s="24"/>
      <c r="CC882" s="24"/>
      <c r="CD882" s="24"/>
      <c r="CE882" s="24"/>
      <c r="CF882" s="24"/>
      <c r="CG882" s="24"/>
      <c r="CH882" s="24"/>
      <c r="CI882" s="24"/>
      <c r="CJ882" s="24"/>
      <c r="CK882" s="24"/>
      <c r="CL882" s="24"/>
      <c r="CM882" s="24"/>
      <c r="CN882" s="24"/>
      <c r="CO882" s="24"/>
      <c r="CP882" s="24"/>
      <c r="CQ882" s="24"/>
      <c r="CR882" s="24"/>
      <c r="CS882" s="24"/>
      <c r="CT882" s="24"/>
      <c r="CU882" s="24"/>
    </row>
    <row r="883">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c r="CM883" s="24"/>
      <c r="CN883" s="24"/>
      <c r="CO883" s="24"/>
      <c r="CP883" s="24"/>
      <c r="CQ883" s="24"/>
      <c r="CR883" s="24"/>
      <c r="CS883" s="24"/>
      <c r="CT883" s="24"/>
      <c r="CU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c r="BQ884" s="24"/>
      <c r="BR884" s="24"/>
      <c r="BS884" s="24"/>
      <c r="BT884" s="24"/>
      <c r="BU884" s="24"/>
      <c r="BV884" s="24"/>
      <c r="BW884" s="24"/>
      <c r="BX884" s="24"/>
      <c r="BY884" s="24"/>
      <c r="BZ884" s="24"/>
      <c r="CA884" s="24"/>
      <c r="CB884" s="24"/>
      <c r="CC884" s="24"/>
      <c r="CD884" s="24"/>
      <c r="CE884" s="24"/>
      <c r="CF884" s="24"/>
      <c r="CG884" s="24"/>
      <c r="CH884" s="24"/>
      <c r="CI884" s="24"/>
      <c r="CJ884" s="24"/>
      <c r="CK884" s="24"/>
      <c r="CL884" s="24"/>
      <c r="CM884" s="24"/>
      <c r="CN884" s="24"/>
      <c r="CO884" s="24"/>
      <c r="CP884" s="24"/>
      <c r="CQ884" s="24"/>
      <c r="CR884" s="24"/>
      <c r="CS884" s="24"/>
      <c r="CT884" s="24"/>
      <c r="CU884" s="24"/>
    </row>
    <row r="885">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c r="BT885" s="24"/>
      <c r="BU885" s="24"/>
      <c r="BV885" s="24"/>
      <c r="BW885" s="24"/>
      <c r="BX885" s="24"/>
      <c r="BY885" s="24"/>
      <c r="BZ885" s="24"/>
      <c r="CA885" s="24"/>
      <c r="CB885" s="24"/>
      <c r="CC885" s="24"/>
      <c r="CD885" s="24"/>
      <c r="CE885" s="24"/>
      <c r="CF885" s="24"/>
      <c r="CG885" s="24"/>
      <c r="CH885" s="24"/>
      <c r="CI885" s="24"/>
      <c r="CJ885" s="24"/>
      <c r="CK885" s="24"/>
      <c r="CL885" s="24"/>
      <c r="CM885" s="24"/>
      <c r="CN885" s="24"/>
      <c r="CO885" s="24"/>
      <c r="CP885" s="24"/>
      <c r="CQ885" s="24"/>
      <c r="CR885" s="24"/>
      <c r="CS885" s="24"/>
      <c r="CT885" s="24"/>
      <c r="CU885" s="24"/>
    </row>
    <row r="886">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c r="BQ886" s="24"/>
      <c r="BR886" s="24"/>
      <c r="BS886" s="24"/>
      <c r="BT886" s="24"/>
      <c r="BU886" s="24"/>
      <c r="BV886" s="24"/>
      <c r="BW886" s="24"/>
      <c r="BX886" s="24"/>
      <c r="BY886" s="24"/>
      <c r="BZ886" s="24"/>
      <c r="CA886" s="24"/>
      <c r="CB886" s="24"/>
      <c r="CC886" s="24"/>
      <c r="CD886" s="24"/>
      <c r="CE886" s="24"/>
      <c r="CF886" s="24"/>
      <c r="CG886" s="24"/>
      <c r="CH886" s="24"/>
      <c r="CI886" s="24"/>
      <c r="CJ886" s="24"/>
      <c r="CK886" s="24"/>
      <c r="CL886" s="24"/>
      <c r="CM886" s="24"/>
      <c r="CN886" s="24"/>
      <c r="CO886" s="24"/>
      <c r="CP886" s="24"/>
      <c r="CQ886" s="24"/>
      <c r="CR886" s="24"/>
      <c r="CS886" s="24"/>
      <c r="CT886" s="24"/>
      <c r="CU886" s="24"/>
    </row>
    <row r="887">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c r="BT887" s="24"/>
      <c r="BU887" s="24"/>
      <c r="BV887" s="24"/>
      <c r="BW887" s="24"/>
      <c r="BX887" s="24"/>
      <c r="BY887" s="24"/>
      <c r="BZ887" s="24"/>
      <c r="CA887" s="24"/>
      <c r="CB887" s="24"/>
      <c r="CC887" s="24"/>
      <c r="CD887" s="24"/>
      <c r="CE887" s="24"/>
      <c r="CF887" s="24"/>
      <c r="CG887" s="24"/>
      <c r="CH887" s="24"/>
      <c r="CI887" s="24"/>
      <c r="CJ887" s="24"/>
      <c r="CK887" s="24"/>
      <c r="CL887" s="24"/>
      <c r="CM887" s="24"/>
      <c r="CN887" s="24"/>
      <c r="CO887" s="24"/>
      <c r="CP887" s="24"/>
      <c r="CQ887" s="24"/>
      <c r="CR887" s="24"/>
      <c r="CS887" s="24"/>
      <c r="CT887" s="24"/>
      <c r="CU887" s="24"/>
    </row>
    <row r="888">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c r="BQ888" s="24"/>
      <c r="BR888" s="24"/>
      <c r="BS888" s="24"/>
      <c r="BT888" s="24"/>
      <c r="BU888" s="24"/>
      <c r="BV888" s="24"/>
      <c r="BW888" s="24"/>
      <c r="BX888" s="24"/>
      <c r="BY888" s="24"/>
      <c r="BZ888" s="24"/>
      <c r="CA888" s="24"/>
      <c r="CB888" s="24"/>
      <c r="CC888" s="24"/>
      <c r="CD888" s="24"/>
      <c r="CE888" s="24"/>
      <c r="CF888" s="24"/>
      <c r="CG888" s="24"/>
      <c r="CH888" s="24"/>
      <c r="CI888" s="24"/>
      <c r="CJ888" s="24"/>
      <c r="CK888" s="24"/>
      <c r="CL888" s="24"/>
      <c r="CM888" s="24"/>
      <c r="CN888" s="24"/>
      <c r="CO888" s="24"/>
      <c r="CP888" s="24"/>
      <c r="CQ888" s="24"/>
      <c r="CR888" s="24"/>
      <c r="CS888" s="24"/>
      <c r="CT888" s="24"/>
      <c r="CU888" s="24"/>
    </row>
    <row r="889">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c r="BT889" s="24"/>
      <c r="BU889" s="24"/>
      <c r="BV889" s="24"/>
      <c r="BW889" s="24"/>
      <c r="BX889" s="24"/>
      <c r="BY889" s="24"/>
      <c r="BZ889" s="24"/>
      <c r="CA889" s="24"/>
      <c r="CB889" s="24"/>
      <c r="CC889" s="24"/>
      <c r="CD889" s="24"/>
      <c r="CE889" s="24"/>
      <c r="CF889" s="24"/>
      <c r="CG889" s="24"/>
      <c r="CH889" s="24"/>
      <c r="CI889" s="24"/>
      <c r="CJ889" s="24"/>
      <c r="CK889" s="24"/>
      <c r="CL889" s="24"/>
      <c r="CM889" s="24"/>
      <c r="CN889" s="24"/>
      <c r="CO889" s="24"/>
      <c r="CP889" s="24"/>
      <c r="CQ889" s="24"/>
      <c r="CR889" s="24"/>
      <c r="CS889" s="24"/>
      <c r="CT889" s="24"/>
      <c r="CU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c r="BQ890" s="24"/>
      <c r="BR890" s="24"/>
      <c r="BS890" s="24"/>
      <c r="BT890" s="24"/>
      <c r="BU890" s="24"/>
      <c r="BV890" s="24"/>
      <c r="BW890" s="24"/>
      <c r="BX890" s="24"/>
      <c r="BY890" s="24"/>
      <c r="BZ890" s="24"/>
      <c r="CA890" s="24"/>
      <c r="CB890" s="24"/>
      <c r="CC890" s="24"/>
      <c r="CD890" s="24"/>
      <c r="CE890" s="24"/>
      <c r="CF890" s="24"/>
      <c r="CG890" s="24"/>
      <c r="CH890" s="24"/>
      <c r="CI890" s="24"/>
      <c r="CJ890" s="24"/>
      <c r="CK890" s="24"/>
      <c r="CL890" s="24"/>
      <c r="CM890" s="24"/>
      <c r="CN890" s="24"/>
      <c r="CO890" s="24"/>
      <c r="CP890" s="24"/>
      <c r="CQ890" s="24"/>
      <c r="CR890" s="24"/>
      <c r="CS890" s="24"/>
      <c r="CT890" s="24"/>
      <c r="CU890" s="24"/>
    </row>
    <row r="891">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c r="BT891" s="24"/>
      <c r="BU891" s="24"/>
      <c r="BV891" s="24"/>
      <c r="BW891" s="24"/>
      <c r="BX891" s="24"/>
      <c r="BY891" s="24"/>
      <c r="BZ891" s="24"/>
      <c r="CA891" s="24"/>
      <c r="CB891" s="24"/>
      <c r="CC891" s="24"/>
      <c r="CD891" s="24"/>
      <c r="CE891" s="24"/>
      <c r="CF891" s="24"/>
      <c r="CG891" s="24"/>
      <c r="CH891" s="24"/>
      <c r="CI891" s="24"/>
      <c r="CJ891" s="24"/>
      <c r="CK891" s="24"/>
      <c r="CL891" s="24"/>
      <c r="CM891" s="24"/>
      <c r="CN891" s="24"/>
      <c r="CO891" s="24"/>
      <c r="CP891" s="24"/>
      <c r="CQ891" s="24"/>
      <c r="CR891" s="24"/>
      <c r="CS891" s="24"/>
      <c r="CT891" s="24"/>
      <c r="CU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c r="BQ892" s="24"/>
      <c r="BR892" s="24"/>
      <c r="BS892" s="24"/>
      <c r="BT892" s="24"/>
      <c r="BU892" s="24"/>
      <c r="BV892" s="24"/>
      <c r="BW892" s="24"/>
      <c r="BX892" s="24"/>
      <c r="BY892" s="24"/>
      <c r="BZ892" s="24"/>
      <c r="CA892" s="24"/>
      <c r="CB892" s="24"/>
      <c r="CC892" s="24"/>
      <c r="CD892" s="24"/>
      <c r="CE892" s="24"/>
      <c r="CF892" s="24"/>
      <c r="CG892" s="24"/>
      <c r="CH892" s="24"/>
      <c r="CI892" s="24"/>
      <c r="CJ892" s="24"/>
      <c r="CK892" s="24"/>
      <c r="CL892" s="24"/>
      <c r="CM892" s="24"/>
      <c r="CN892" s="24"/>
      <c r="CO892" s="24"/>
      <c r="CP892" s="24"/>
      <c r="CQ892" s="24"/>
      <c r="CR892" s="24"/>
      <c r="CS892" s="24"/>
      <c r="CT892" s="24"/>
      <c r="CU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c r="BT893" s="24"/>
      <c r="BU893" s="24"/>
      <c r="BV893" s="24"/>
      <c r="BW893" s="24"/>
      <c r="BX893" s="24"/>
      <c r="BY893" s="24"/>
      <c r="BZ893" s="24"/>
      <c r="CA893" s="24"/>
      <c r="CB893" s="24"/>
      <c r="CC893" s="24"/>
      <c r="CD893" s="24"/>
      <c r="CE893" s="24"/>
      <c r="CF893" s="24"/>
      <c r="CG893" s="24"/>
      <c r="CH893" s="24"/>
      <c r="CI893" s="24"/>
      <c r="CJ893" s="24"/>
      <c r="CK893" s="24"/>
      <c r="CL893" s="24"/>
      <c r="CM893" s="24"/>
      <c r="CN893" s="24"/>
      <c r="CO893" s="24"/>
      <c r="CP893" s="24"/>
      <c r="CQ893" s="24"/>
      <c r="CR893" s="24"/>
      <c r="CS893" s="24"/>
      <c r="CT893" s="24"/>
      <c r="CU893" s="24"/>
    </row>
    <row r="894">
      <c r="A894" s="24"/>
      <c r="B894" s="24"/>
      <c r="C894" s="24"/>
      <c r="D894" s="24"/>
      <c r="E894" s="24"/>
      <c r="F894" s="58"/>
      <c r="G894" s="24"/>
      <c r="H894" s="24"/>
      <c r="I894" s="58"/>
      <c r="J894" s="24"/>
      <c r="K894" s="24"/>
      <c r="L894" s="58"/>
      <c r="M894" s="24"/>
      <c r="N894" s="24"/>
      <c r="O894" s="58"/>
      <c r="P894" s="24"/>
      <c r="Q894" s="24"/>
      <c r="R894" s="58"/>
      <c r="S894" s="24"/>
      <c r="T894" s="24"/>
      <c r="U894" s="58"/>
      <c r="V894" s="24"/>
      <c r="W894" s="24"/>
      <c r="X894" s="58"/>
      <c r="Y894" s="24"/>
      <c r="Z894" s="24"/>
      <c r="AA894" s="58"/>
      <c r="AB894" s="24"/>
      <c r="AC894" s="24"/>
      <c r="AD894" s="58"/>
      <c r="AE894" s="24"/>
      <c r="AF894" s="24"/>
      <c r="AG894" s="58"/>
      <c r="AH894" s="24"/>
      <c r="AI894" s="24"/>
      <c r="AJ894" s="58"/>
      <c r="AK894" s="24"/>
      <c r="AL894" s="24"/>
      <c r="AM894" s="58"/>
      <c r="AN894" s="24"/>
      <c r="AO894" s="24"/>
      <c r="AP894" s="58"/>
      <c r="AQ894" s="24"/>
      <c r="AR894" s="24"/>
      <c r="AS894" s="58"/>
      <c r="AT894" s="24"/>
      <c r="AU894" s="24"/>
      <c r="AV894" s="58"/>
      <c r="AW894" s="24"/>
      <c r="AX894" s="24"/>
      <c r="AY894" s="58"/>
      <c r="AZ894" s="24"/>
      <c r="BA894" s="24"/>
      <c r="BB894" s="58"/>
      <c r="BC894" s="24"/>
      <c r="BD894" s="24"/>
      <c r="BE894" s="58"/>
      <c r="BF894" s="24"/>
      <c r="BG894" s="24"/>
      <c r="BH894" s="58"/>
      <c r="BI894" s="24"/>
      <c r="BJ894" s="24"/>
      <c r="BK894" s="58"/>
      <c r="BL894" s="24"/>
      <c r="BM894" s="24"/>
      <c r="BN894" s="58"/>
      <c r="BO894" s="24"/>
      <c r="BP894" s="24"/>
      <c r="BQ894" s="58"/>
      <c r="BR894" s="24"/>
      <c r="BS894" s="24"/>
      <c r="BT894" s="58"/>
      <c r="BU894" s="24"/>
      <c r="BV894" s="24"/>
      <c r="BW894" s="58"/>
      <c r="BX894" s="24"/>
      <c r="BY894" s="24"/>
      <c r="BZ894" s="58"/>
      <c r="CA894" s="24"/>
      <c r="CB894" s="24"/>
      <c r="CC894" s="58"/>
      <c r="CD894" s="24"/>
      <c r="CE894" s="24"/>
      <c r="CF894" s="58"/>
      <c r="CG894" s="24"/>
      <c r="CH894" s="24"/>
      <c r="CI894" s="58"/>
      <c r="CJ894" s="24"/>
      <c r="CK894" s="24"/>
      <c r="CL894" s="58"/>
      <c r="CM894" s="24"/>
      <c r="CN894" s="24"/>
      <c r="CO894" s="58"/>
      <c r="CP894" s="24"/>
      <c r="CQ894" s="24"/>
      <c r="CR894" s="58"/>
      <c r="CS894" s="24"/>
      <c r="CT894" s="24"/>
      <c r="CU894" s="58"/>
    </row>
    <row r="895">
      <c r="A895" s="24"/>
      <c r="B895" s="24"/>
      <c r="C895" s="24"/>
      <c r="D895" s="24"/>
      <c r="E895" s="24"/>
      <c r="F895" s="58"/>
      <c r="G895" s="24"/>
      <c r="H895" s="24"/>
      <c r="I895" s="58"/>
      <c r="J895" s="24"/>
      <c r="K895" s="24"/>
      <c r="L895" s="58"/>
      <c r="M895" s="24"/>
      <c r="N895" s="24"/>
      <c r="O895" s="58"/>
      <c r="P895" s="24"/>
      <c r="Q895" s="24"/>
      <c r="R895" s="58"/>
      <c r="S895" s="24"/>
      <c r="T895" s="24"/>
      <c r="U895" s="58"/>
      <c r="V895" s="24"/>
      <c r="W895" s="24"/>
      <c r="X895" s="58"/>
      <c r="Y895" s="24"/>
      <c r="Z895" s="24"/>
      <c r="AA895" s="58"/>
      <c r="AB895" s="24"/>
      <c r="AC895" s="24"/>
      <c r="AD895" s="58"/>
      <c r="AE895" s="24"/>
      <c r="AF895" s="24"/>
      <c r="AG895" s="58"/>
      <c r="AH895" s="24"/>
      <c r="AI895" s="24"/>
      <c r="AJ895" s="58"/>
      <c r="AK895" s="24"/>
      <c r="AL895" s="24"/>
      <c r="AM895" s="58"/>
      <c r="AN895" s="24"/>
      <c r="AO895" s="24"/>
      <c r="AP895" s="58"/>
      <c r="AQ895" s="24"/>
      <c r="AR895" s="24"/>
      <c r="AS895" s="58"/>
      <c r="AT895" s="24"/>
      <c r="AU895" s="24"/>
      <c r="AV895" s="58"/>
      <c r="AW895" s="24"/>
      <c r="AX895" s="24"/>
      <c r="AY895" s="58"/>
      <c r="AZ895" s="24"/>
      <c r="BA895" s="24"/>
      <c r="BB895" s="58"/>
      <c r="BC895" s="24"/>
      <c r="BD895" s="24"/>
      <c r="BE895" s="58"/>
      <c r="BF895" s="24"/>
      <c r="BG895" s="24"/>
      <c r="BH895" s="58"/>
      <c r="BI895" s="24"/>
      <c r="BJ895" s="24"/>
      <c r="BK895" s="58"/>
      <c r="BL895" s="24"/>
      <c r="BM895" s="24"/>
      <c r="BN895" s="58"/>
      <c r="BO895" s="24"/>
      <c r="BP895" s="24"/>
      <c r="BQ895" s="58"/>
      <c r="BR895" s="24"/>
      <c r="BS895" s="24"/>
      <c r="BT895" s="58"/>
      <c r="BU895" s="24"/>
      <c r="BV895" s="24"/>
      <c r="BW895" s="58"/>
      <c r="BX895" s="24"/>
      <c r="BY895" s="24"/>
      <c r="BZ895" s="58"/>
      <c r="CA895" s="24"/>
      <c r="CB895" s="24"/>
      <c r="CC895" s="58"/>
      <c r="CD895" s="24"/>
      <c r="CE895" s="24"/>
      <c r="CF895" s="58"/>
      <c r="CG895" s="24"/>
      <c r="CH895" s="24"/>
      <c r="CI895" s="58"/>
      <c r="CJ895" s="24"/>
      <c r="CK895" s="24"/>
      <c r="CL895" s="58"/>
      <c r="CM895" s="24"/>
      <c r="CN895" s="24"/>
      <c r="CO895" s="58"/>
      <c r="CP895" s="24"/>
      <c r="CQ895" s="24"/>
      <c r="CR895" s="58"/>
      <c r="CS895" s="24"/>
      <c r="CT895" s="24"/>
      <c r="CU895" s="58"/>
    </row>
    <row r="896">
      <c r="A896" s="24"/>
      <c r="B896" s="24"/>
      <c r="C896" s="24"/>
      <c r="D896" s="24"/>
      <c r="E896" s="24"/>
      <c r="F896" s="58"/>
      <c r="G896" s="24"/>
      <c r="H896" s="24"/>
      <c r="I896" s="58"/>
      <c r="J896" s="24"/>
      <c r="K896" s="24"/>
      <c r="L896" s="58"/>
      <c r="M896" s="24"/>
      <c r="N896" s="24"/>
      <c r="O896" s="58"/>
      <c r="P896" s="24"/>
      <c r="Q896" s="24"/>
      <c r="R896" s="58"/>
      <c r="S896" s="24"/>
      <c r="T896" s="24"/>
      <c r="U896" s="58"/>
      <c r="V896" s="24"/>
      <c r="W896" s="24"/>
      <c r="X896" s="58"/>
      <c r="Y896" s="24"/>
      <c r="Z896" s="24"/>
      <c r="AA896" s="58"/>
      <c r="AB896" s="24"/>
      <c r="AC896" s="24"/>
      <c r="AD896" s="58"/>
      <c r="AE896" s="24"/>
      <c r="AF896" s="24"/>
      <c r="AG896" s="58"/>
      <c r="AH896" s="24"/>
      <c r="AI896" s="24"/>
      <c r="AJ896" s="58"/>
      <c r="AK896" s="24"/>
      <c r="AL896" s="24"/>
      <c r="AM896" s="58"/>
      <c r="AN896" s="24"/>
      <c r="AO896" s="24"/>
      <c r="AP896" s="58"/>
      <c r="AQ896" s="24"/>
      <c r="AR896" s="24"/>
      <c r="AS896" s="58"/>
      <c r="AT896" s="24"/>
      <c r="AU896" s="24"/>
      <c r="AV896" s="58"/>
      <c r="AW896" s="24"/>
      <c r="AX896" s="24"/>
      <c r="AY896" s="58"/>
      <c r="AZ896" s="24"/>
      <c r="BA896" s="24"/>
      <c r="BB896" s="58"/>
      <c r="BC896" s="24"/>
      <c r="BD896" s="24"/>
      <c r="BE896" s="58"/>
      <c r="BF896" s="24"/>
      <c r="BG896" s="24"/>
      <c r="BH896" s="58"/>
      <c r="BI896" s="24"/>
      <c r="BJ896" s="24"/>
      <c r="BK896" s="58"/>
      <c r="BL896" s="24"/>
      <c r="BM896" s="24"/>
      <c r="BN896" s="58"/>
      <c r="BO896" s="24"/>
      <c r="BP896" s="24"/>
      <c r="BQ896" s="58"/>
      <c r="BR896" s="24"/>
      <c r="BS896" s="24"/>
      <c r="BT896" s="58"/>
      <c r="BU896" s="24"/>
      <c r="BV896" s="24"/>
      <c r="BW896" s="58"/>
      <c r="BX896" s="24"/>
      <c r="BY896" s="24"/>
      <c r="BZ896" s="58"/>
      <c r="CA896" s="24"/>
      <c r="CB896" s="24"/>
      <c r="CC896" s="58"/>
      <c r="CD896" s="24"/>
      <c r="CE896" s="24"/>
      <c r="CF896" s="58"/>
      <c r="CG896" s="24"/>
      <c r="CH896" s="24"/>
      <c r="CI896" s="58"/>
      <c r="CJ896" s="24"/>
      <c r="CK896" s="24"/>
      <c r="CL896" s="58"/>
      <c r="CM896" s="24"/>
      <c r="CN896" s="24"/>
      <c r="CO896" s="58"/>
      <c r="CP896" s="24"/>
      <c r="CQ896" s="24"/>
      <c r="CR896" s="58"/>
      <c r="CS896" s="24"/>
      <c r="CT896" s="24"/>
      <c r="CU896" s="58"/>
    </row>
    <row r="897">
      <c r="A897" s="24"/>
      <c r="B897" s="24"/>
      <c r="C897" s="24"/>
      <c r="D897" s="24"/>
      <c r="E897" s="24"/>
      <c r="F897" s="58"/>
      <c r="G897" s="24"/>
      <c r="H897" s="24"/>
      <c r="I897" s="58"/>
      <c r="J897" s="24"/>
      <c r="K897" s="24"/>
      <c r="L897" s="58"/>
      <c r="M897" s="24"/>
      <c r="N897" s="24"/>
      <c r="O897" s="58"/>
      <c r="P897" s="24"/>
      <c r="Q897" s="24"/>
      <c r="R897" s="58"/>
      <c r="S897" s="24"/>
      <c r="T897" s="24"/>
      <c r="U897" s="58"/>
      <c r="V897" s="24"/>
      <c r="W897" s="24"/>
      <c r="X897" s="58"/>
      <c r="Y897" s="24"/>
      <c r="Z897" s="24"/>
      <c r="AA897" s="58"/>
      <c r="AB897" s="24"/>
      <c r="AC897" s="24"/>
      <c r="AD897" s="58"/>
      <c r="AE897" s="24"/>
      <c r="AF897" s="24"/>
      <c r="AG897" s="58"/>
      <c r="AH897" s="24"/>
      <c r="AI897" s="24"/>
      <c r="AJ897" s="58"/>
      <c r="AK897" s="24"/>
      <c r="AL897" s="24"/>
      <c r="AM897" s="58"/>
      <c r="AN897" s="24"/>
      <c r="AO897" s="24"/>
      <c r="AP897" s="58"/>
      <c r="AQ897" s="24"/>
      <c r="AR897" s="24"/>
      <c r="AS897" s="58"/>
      <c r="AT897" s="24"/>
      <c r="AU897" s="24"/>
      <c r="AV897" s="58"/>
      <c r="AW897" s="24"/>
      <c r="AX897" s="24"/>
      <c r="AY897" s="58"/>
      <c r="AZ897" s="24"/>
      <c r="BA897" s="24"/>
      <c r="BB897" s="58"/>
      <c r="BC897" s="24"/>
      <c r="BD897" s="24"/>
      <c r="BE897" s="58"/>
      <c r="BF897" s="24"/>
      <c r="BG897" s="24"/>
      <c r="BH897" s="58"/>
      <c r="BI897" s="24"/>
      <c r="BJ897" s="24"/>
      <c r="BK897" s="58"/>
      <c r="BL897" s="24"/>
      <c r="BM897" s="24"/>
      <c r="BN897" s="58"/>
      <c r="BO897" s="24"/>
      <c r="BP897" s="24"/>
      <c r="BQ897" s="58"/>
      <c r="BR897" s="24"/>
      <c r="BS897" s="24"/>
      <c r="BT897" s="58"/>
      <c r="BU897" s="24"/>
      <c r="BV897" s="24"/>
      <c r="BW897" s="58"/>
      <c r="BX897" s="24"/>
      <c r="BY897" s="24"/>
      <c r="BZ897" s="58"/>
      <c r="CA897" s="24"/>
      <c r="CB897" s="24"/>
      <c r="CC897" s="58"/>
      <c r="CD897" s="24"/>
      <c r="CE897" s="24"/>
      <c r="CF897" s="58"/>
      <c r="CG897" s="24"/>
      <c r="CH897" s="24"/>
      <c r="CI897" s="58"/>
      <c r="CJ897" s="24"/>
      <c r="CK897" s="24"/>
      <c r="CL897" s="58"/>
      <c r="CM897" s="24"/>
      <c r="CN897" s="24"/>
      <c r="CO897" s="58"/>
      <c r="CP897" s="24"/>
      <c r="CQ897" s="24"/>
      <c r="CR897" s="58"/>
      <c r="CS897" s="24"/>
      <c r="CT897" s="24"/>
      <c r="CU897" s="58"/>
    </row>
    <row r="898">
      <c r="A898" s="24"/>
      <c r="B898" s="24"/>
      <c r="C898" s="24"/>
      <c r="D898" s="24"/>
      <c r="E898" s="24"/>
      <c r="F898" s="58"/>
      <c r="G898" s="24"/>
      <c r="H898" s="24"/>
      <c r="I898" s="58"/>
      <c r="J898" s="24"/>
      <c r="K898" s="24"/>
      <c r="L898" s="58"/>
      <c r="M898" s="24"/>
      <c r="N898" s="24"/>
      <c r="O898" s="58"/>
      <c r="P898" s="24"/>
      <c r="Q898" s="24"/>
      <c r="R898" s="58"/>
      <c r="S898" s="24"/>
      <c r="T898" s="24"/>
      <c r="U898" s="58"/>
      <c r="V898" s="24"/>
      <c r="W898" s="24"/>
      <c r="X898" s="58"/>
      <c r="Y898" s="24"/>
      <c r="Z898" s="24"/>
      <c r="AA898" s="58"/>
      <c r="AB898" s="24"/>
      <c r="AC898" s="24"/>
      <c r="AD898" s="58"/>
      <c r="AE898" s="24"/>
      <c r="AF898" s="24"/>
      <c r="AG898" s="58"/>
      <c r="AH898" s="24"/>
      <c r="AI898" s="24"/>
      <c r="AJ898" s="58"/>
      <c r="AK898" s="24"/>
      <c r="AL898" s="24"/>
      <c r="AM898" s="58"/>
      <c r="AN898" s="24"/>
      <c r="AO898" s="24"/>
      <c r="AP898" s="58"/>
      <c r="AQ898" s="24"/>
      <c r="AR898" s="24"/>
      <c r="AS898" s="58"/>
      <c r="AT898" s="24"/>
      <c r="AU898" s="24"/>
      <c r="AV898" s="58"/>
      <c r="AW898" s="24"/>
      <c r="AX898" s="24"/>
      <c r="AY898" s="58"/>
      <c r="AZ898" s="24"/>
      <c r="BA898" s="24"/>
      <c r="BB898" s="58"/>
      <c r="BC898" s="24"/>
      <c r="BD898" s="24"/>
      <c r="BE898" s="58"/>
      <c r="BF898" s="24"/>
      <c r="BG898" s="24"/>
      <c r="BH898" s="58"/>
      <c r="BI898" s="24"/>
      <c r="BJ898" s="24"/>
      <c r="BK898" s="58"/>
      <c r="BL898" s="24"/>
      <c r="BM898" s="24"/>
      <c r="BN898" s="58"/>
      <c r="BO898" s="24"/>
      <c r="BP898" s="24"/>
      <c r="BQ898" s="58"/>
      <c r="BR898" s="24"/>
      <c r="BS898" s="24"/>
      <c r="BT898" s="58"/>
      <c r="BU898" s="24"/>
      <c r="BV898" s="24"/>
      <c r="BW898" s="58"/>
      <c r="BX898" s="24"/>
      <c r="BY898" s="24"/>
      <c r="BZ898" s="58"/>
      <c r="CA898" s="24"/>
      <c r="CB898" s="24"/>
      <c r="CC898" s="58"/>
      <c r="CD898" s="24"/>
      <c r="CE898" s="24"/>
      <c r="CF898" s="58"/>
      <c r="CG898" s="24"/>
      <c r="CH898" s="24"/>
      <c r="CI898" s="58"/>
      <c r="CJ898" s="24"/>
      <c r="CK898" s="24"/>
      <c r="CL898" s="58"/>
      <c r="CM898" s="24"/>
      <c r="CN898" s="24"/>
      <c r="CO898" s="58"/>
      <c r="CP898" s="24"/>
      <c r="CQ898" s="24"/>
      <c r="CR898" s="58"/>
      <c r="CS898" s="24"/>
      <c r="CT898" s="24"/>
      <c r="CU898" s="58"/>
    </row>
    <row r="899">
      <c r="A899" s="24"/>
      <c r="B899" s="24"/>
      <c r="C899" s="24"/>
      <c r="D899" s="24"/>
      <c r="E899" s="24"/>
      <c r="F899" s="58"/>
      <c r="G899" s="24"/>
      <c r="H899" s="24"/>
      <c r="I899" s="58"/>
      <c r="J899" s="24"/>
      <c r="K899" s="24"/>
      <c r="L899" s="58"/>
      <c r="M899" s="24"/>
      <c r="N899" s="24"/>
      <c r="O899" s="58"/>
      <c r="P899" s="24"/>
      <c r="Q899" s="24"/>
      <c r="R899" s="58"/>
      <c r="S899" s="24"/>
      <c r="T899" s="24"/>
      <c r="U899" s="58"/>
      <c r="V899" s="24"/>
      <c r="W899" s="24"/>
      <c r="X899" s="58"/>
      <c r="Y899" s="24"/>
      <c r="Z899" s="24"/>
      <c r="AA899" s="58"/>
      <c r="AB899" s="24"/>
      <c r="AC899" s="24"/>
      <c r="AD899" s="58"/>
      <c r="AE899" s="24"/>
      <c r="AF899" s="24"/>
      <c r="AG899" s="58"/>
      <c r="AH899" s="24"/>
      <c r="AI899" s="24"/>
      <c r="AJ899" s="58"/>
      <c r="AK899" s="24"/>
      <c r="AL899" s="24"/>
      <c r="AM899" s="58"/>
      <c r="AN899" s="24"/>
      <c r="AO899" s="24"/>
      <c r="AP899" s="58"/>
      <c r="AQ899" s="24"/>
      <c r="AR899" s="24"/>
      <c r="AS899" s="58"/>
      <c r="AT899" s="24"/>
      <c r="AU899" s="24"/>
      <c r="AV899" s="58"/>
      <c r="AW899" s="24"/>
      <c r="AX899" s="24"/>
      <c r="AY899" s="58"/>
      <c r="AZ899" s="24"/>
      <c r="BA899" s="24"/>
      <c r="BB899" s="58"/>
      <c r="BC899" s="24"/>
      <c r="BD899" s="24"/>
      <c r="BE899" s="58"/>
      <c r="BF899" s="24"/>
      <c r="BG899" s="24"/>
      <c r="BH899" s="58"/>
      <c r="BI899" s="24"/>
      <c r="BJ899" s="24"/>
      <c r="BK899" s="58"/>
      <c r="BL899" s="24"/>
      <c r="BM899" s="24"/>
      <c r="BN899" s="58"/>
      <c r="BO899" s="24"/>
      <c r="BP899" s="24"/>
      <c r="BQ899" s="58"/>
      <c r="BR899" s="24"/>
      <c r="BS899" s="24"/>
      <c r="BT899" s="58"/>
      <c r="BU899" s="24"/>
      <c r="BV899" s="24"/>
      <c r="BW899" s="58"/>
      <c r="BX899" s="24"/>
      <c r="BY899" s="24"/>
      <c r="BZ899" s="58"/>
      <c r="CA899" s="24"/>
      <c r="CB899" s="24"/>
      <c r="CC899" s="58"/>
      <c r="CD899" s="24"/>
      <c r="CE899" s="24"/>
      <c r="CF899" s="58"/>
      <c r="CG899" s="24"/>
      <c r="CH899" s="24"/>
      <c r="CI899" s="58"/>
      <c r="CJ899" s="24"/>
      <c r="CK899" s="24"/>
      <c r="CL899" s="58"/>
      <c r="CM899" s="24"/>
      <c r="CN899" s="24"/>
      <c r="CO899" s="58"/>
      <c r="CP899" s="24"/>
      <c r="CQ899" s="24"/>
      <c r="CR899" s="58"/>
      <c r="CS899" s="24"/>
      <c r="CT899" s="24"/>
      <c r="CU899" s="58"/>
    </row>
    <row r="900">
      <c r="A900" s="24"/>
      <c r="B900" s="24"/>
      <c r="C900" s="24"/>
      <c r="D900" s="24"/>
      <c r="E900" s="24"/>
      <c r="F900" s="58"/>
      <c r="G900" s="24"/>
      <c r="H900" s="24"/>
      <c r="I900" s="58"/>
      <c r="J900" s="24"/>
      <c r="K900" s="24"/>
      <c r="L900" s="58"/>
      <c r="M900" s="24"/>
      <c r="N900" s="24"/>
      <c r="O900" s="58"/>
      <c r="P900" s="24"/>
      <c r="Q900" s="24"/>
      <c r="R900" s="58"/>
      <c r="S900" s="24"/>
      <c r="T900" s="24"/>
      <c r="U900" s="58"/>
      <c r="V900" s="24"/>
      <c r="W900" s="24"/>
      <c r="X900" s="58"/>
      <c r="Y900" s="24"/>
      <c r="Z900" s="24"/>
      <c r="AA900" s="58"/>
      <c r="AB900" s="24"/>
      <c r="AC900" s="24"/>
      <c r="AD900" s="58"/>
      <c r="AE900" s="24"/>
      <c r="AF900" s="24"/>
      <c r="AG900" s="58"/>
      <c r="AH900" s="24"/>
      <c r="AI900" s="24"/>
      <c r="AJ900" s="58"/>
      <c r="AK900" s="24"/>
      <c r="AL900" s="24"/>
      <c r="AM900" s="58"/>
      <c r="AN900" s="24"/>
      <c r="AO900" s="24"/>
      <c r="AP900" s="58"/>
      <c r="AQ900" s="24"/>
      <c r="AR900" s="24"/>
      <c r="AS900" s="58"/>
      <c r="AT900" s="24"/>
      <c r="AU900" s="24"/>
      <c r="AV900" s="58"/>
      <c r="AW900" s="24"/>
      <c r="AX900" s="24"/>
      <c r="AY900" s="58"/>
      <c r="AZ900" s="24"/>
      <c r="BA900" s="24"/>
      <c r="BB900" s="58"/>
      <c r="BC900" s="24"/>
      <c r="BD900" s="24"/>
      <c r="BE900" s="58"/>
      <c r="BF900" s="24"/>
      <c r="BG900" s="24"/>
      <c r="BH900" s="58"/>
      <c r="BI900" s="24"/>
      <c r="BJ900" s="24"/>
      <c r="BK900" s="58"/>
      <c r="BL900" s="24"/>
      <c r="BM900" s="24"/>
      <c r="BN900" s="58"/>
      <c r="BO900" s="24"/>
      <c r="BP900" s="24"/>
      <c r="BQ900" s="58"/>
      <c r="BR900" s="24"/>
      <c r="BS900" s="24"/>
      <c r="BT900" s="58"/>
      <c r="BU900" s="24"/>
      <c r="BV900" s="24"/>
      <c r="BW900" s="58"/>
      <c r="BX900" s="24"/>
      <c r="BY900" s="24"/>
      <c r="BZ900" s="58"/>
      <c r="CA900" s="24"/>
      <c r="CB900" s="24"/>
      <c r="CC900" s="58"/>
      <c r="CD900" s="24"/>
      <c r="CE900" s="24"/>
      <c r="CF900" s="58"/>
      <c r="CG900" s="24"/>
      <c r="CH900" s="24"/>
      <c r="CI900" s="58"/>
      <c r="CJ900" s="24"/>
      <c r="CK900" s="24"/>
      <c r="CL900" s="58"/>
      <c r="CM900" s="24"/>
      <c r="CN900" s="24"/>
      <c r="CO900" s="58"/>
      <c r="CP900" s="24"/>
      <c r="CQ900" s="24"/>
      <c r="CR900" s="58"/>
      <c r="CS900" s="24"/>
      <c r="CT900" s="24"/>
      <c r="CU900" s="58"/>
    </row>
    <row r="901">
      <c r="A901" s="24"/>
      <c r="B901" s="24"/>
      <c r="C901" s="24"/>
      <c r="D901" s="24"/>
      <c r="E901" s="24"/>
      <c r="F901" s="58"/>
      <c r="G901" s="24"/>
      <c r="H901" s="24"/>
      <c r="I901" s="58"/>
      <c r="J901" s="24"/>
      <c r="K901" s="24"/>
      <c r="L901" s="58"/>
      <c r="M901" s="24"/>
      <c r="N901" s="24"/>
      <c r="O901" s="58"/>
      <c r="P901" s="24"/>
      <c r="Q901" s="24"/>
      <c r="R901" s="58"/>
      <c r="S901" s="24"/>
      <c r="T901" s="24"/>
      <c r="U901" s="58"/>
      <c r="V901" s="24"/>
      <c r="W901" s="24"/>
      <c r="X901" s="58"/>
      <c r="Y901" s="24"/>
      <c r="Z901" s="24"/>
      <c r="AA901" s="58"/>
      <c r="AB901" s="24"/>
      <c r="AC901" s="24"/>
      <c r="AD901" s="58"/>
      <c r="AE901" s="24"/>
      <c r="AF901" s="24"/>
      <c r="AG901" s="58"/>
      <c r="AH901" s="24"/>
      <c r="AI901" s="24"/>
      <c r="AJ901" s="58"/>
      <c r="AK901" s="24"/>
      <c r="AL901" s="24"/>
      <c r="AM901" s="58"/>
      <c r="AN901" s="24"/>
      <c r="AO901" s="24"/>
      <c r="AP901" s="58"/>
      <c r="AQ901" s="24"/>
      <c r="AR901" s="24"/>
      <c r="AS901" s="58"/>
      <c r="AT901" s="24"/>
      <c r="AU901" s="24"/>
      <c r="AV901" s="58"/>
      <c r="AW901" s="24"/>
      <c r="AX901" s="24"/>
      <c r="AY901" s="58"/>
      <c r="AZ901" s="24"/>
      <c r="BA901" s="24"/>
      <c r="BB901" s="58"/>
      <c r="BC901" s="24"/>
      <c r="BD901" s="24"/>
      <c r="BE901" s="58"/>
      <c r="BF901" s="24"/>
      <c r="BG901" s="24"/>
      <c r="BH901" s="58"/>
      <c r="BI901" s="24"/>
      <c r="BJ901" s="24"/>
      <c r="BK901" s="58"/>
      <c r="BL901" s="24"/>
      <c r="BM901" s="24"/>
      <c r="BN901" s="58"/>
      <c r="BO901" s="24"/>
      <c r="BP901" s="24"/>
      <c r="BQ901" s="58"/>
      <c r="BR901" s="24"/>
      <c r="BS901" s="24"/>
      <c r="BT901" s="58"/>
      <c r="BU901" s="24"/>
      <c r="BV901" s="24"/>
      <c r="BW901" s="58"/>
      <c r="BX901" s="24"/>
      <c r="BY901" s="24"/>
      <c r="BZ901" s="58"/>
      <c r="CA901" s="24"/>
      <c r="CB901" s="24"/>
      <c r="CC901" s="58"/>
      <c r="CD901" s="24"/>
      <c r="CE901" s="24"/>
      <c r="CF901" s="58"/>
      <c r="CG901" s="24"/>
      <c r="CH901" s="24"/>
      <c r="CI901" s="58"/>
      <c r="CJ901" s="24"/>
      <c r="CK901" s="24"/>
      <c r="CL901" s="58"/>
      <c r="CM901" s="24"/>
      <c r="CN901" s="24"/>
      <c r="CO901" s="58"/>
      <c r="CP901" s="24"/>
      <c r="CQ901" s="24"/>
      <c r="CR901" s="58"/>
      <c r="CS901" s="24"/>
      <c r="CT901" s="24"/>
      <c r="CU901" s="58"/>
    </row>
    <row r="902">
      <c r="A902" s="24"/>
      <c r="B902" s="24"/>
      <c r="C902" s="24"/>
      <c r="D902" s="24"/>
      <c r="E902" s="24"/>
      <c r="F902" s="58"/>
      <c r="G902" s="24"/>
      <c r="H902" s="24"/>
      <c r="I902" s="58"/>
      <c r="J902" s="24"/>
      <c r="K902" s="24"/>
      <c r="L902" s="58"/>
      <c r="M902" s="24"/>
      <c r="N902" s="24"/>
      <c r="O902" s="58"/>
      <c r="P902" s="24"/>
      <c r="Q902" s="24"/>
      <c r="R902" s="58"/>
      <c r="S902" s="24"/>
      <c r="T902" s="24"/>
      <c r="U902" s="58"/>
      <c r="V902" s="24"/>
      <c r="W902" s="24"/>
      <c r="X902" s="58"/>
      <c r="Y902" s="24"/>
      <c r="Z902" s="24"/>
      <c r="AA902" s="58"/>
      <c r="AB902" s="24"/>
      <c r="AC902" s="24"/>
      <c r="AD902" s="58"/>
      <c r="AE902" s="24"/>
      <c r="AF902" s="24"/>
      <c r="AG902" s="58"/>
      <c r="AH902" s="24"/>
      <c r="AI902" s="24"/>
      <c r="AJ902" s="58"/>
      <c r="AK902" s="24"/>
      <c r="AL902" s="24"/>
      <c r="AM902" s="58"/>
      <c r="AN902" s="24"/>
      <c r="AO902" s="24"/>
      <c r="AP902" s="58"/>
      <c r="AQ902" s="24"/>
      <c r="AR902" s="24"/>
      <c r="AS902" s="58"/>
      <c r="AT902" s="24"/>
      <c r="AU902" s="24"/>
      <c r="AV902" s="58"/>
      <c r="AW902" s="24"/>
      <c r="AX902" s="24"/>
      <c r="AY902" s="58"/>
      <c r="AZ902" s="24"/>
      <c r="BA902" s="24"/>
      <c r="BB902" s="58"/>
      <c r="BC902" s="24"/>
      <c r="BD902" s="24"/>
      <c r="BE902" s="58"/>
      <c r="BF902" s="24"/>
      <c r="BG902" s="24"/>
      <c r="BH902" s="58"/>
      <c r="BI902" s="24"/>
      <c r="BJ902" s="24"/>
      <c r="BK902" s="58"/>
      <c r="BL902" s="24"/>
      <c r="BM902" s="24"/>
      <c r="BN902" s="58"/>
      <c r="BO902" s="24"/>
      <c r="BP902" s="24"/>
      <c r="BQ902" s="58"/>
      <c r="BR902" s="24"/>
      <c r="BS902" s="24"/>
      <c r="BT902" s="58"/>
      <c r="BU902" s="24"/>
      <c r="BV902" s="24"/>
      <c r="BW902" s="58"/>
      <c r="BX902" s="24"/>
      <c r="BY902" s="24"/>
      <c r="BZ902" s="58"/>
      <c r="CA902" s="24"/>
      <c r="CB902" s="24"/>
      <c r="CC902" s="58"/>
      <c r="CD902" s="24"/>
      <c r="CE902" s="24"/>
      <c r="CF902" s="58"/>
      <c r="CG902" s="24"/>
      <c r="CH902" s="24"/>
      <c r="CI902" s="58"/>
      <c r="CJ902" s="24"/>
      <c r="CK902" s="24"/>
      <c r="CL902" s="58"/>
      <c r="CM902" s="24"/>
      <c r="CN902" s="24"/>
      <c r="CO902" s="58"/>
      <c r="CP902" s="24"/>
      <c r="CQ902" s="24"/>
      <c r="CR902" s="58"/>
      <c r="CS902" s="24"/>
      <c r="CT902" s="24"/>
      <c r="CU902" s="58"/>
    </row>
    <row r="903">
      <c r="A903" s="24"/>
      <c r="B903" s="24"/>
      <c r="C903" s="24"/>
      <c r="D903" s="24"/>
      <c r="E903" s="24"/>
      <c r="F903" s="58"/>
      <c r="G903" s="24"/>
      <c r="H903" s="24"/>
      <c r="I903" s="58"/>
      <c r="J903" s="24"/>
      <c r="K903" s="24"/>
      <c r="L903" s="58"/>
      <c r="M903" s="24"/>
      <c r="N903" s="24"/>
      <c r="O903" s="58"/>
      <c r="P903" s="24"/>
      <c r="Q903" s="24"/>
      <c r="R903" s="58"/>
      <c r="S903" s="24"/>
      <c r="T903" s="24"/>
      <c r="U903" s="58"/>
      <c r="V903" s="24"/>
      <c r="W903" s="24"/>
      <c r="X903" s="58"/>
      <c r="Y903" s="24"/>
      <c r="Z903" s="24"/>
      <c r="AA903" s="58"/>
      <c r="AB903" s="24"/>
      <c r="AC903" s="24"/>
      <c r="AD903" s="58"/>
      <c r="AE903" s="24"/>
      <c r="AF903" s="24"/>
      <c r="AG903" s="58"/>
      <c r="AH903" s="24"/>
      <c r="AI903" s="24"/>
      <c r="AJ903" s="58"/>
      <c r="AK903" s="24"/>
      <c r="AL903" s="24"/>
      <c r="AM903" s="58"/>
      <c r="AN903" s="24"/>
      <c r="AO903" s="24"/>
      <c r="AP903" s="58"/>
      <c r="AQ903" s="24"/>
      <c r="AR903" s="24"/>
      <c r="AS903" s="58"/>
      <c r="AT903" s="24"/>
      <c r="AU903" s="24"/>
      <c r="AV903" s="58"/>
      <c r="AW903" s="24"/>
      <c r="AX903" s="24"/>
      <c r="AY903" s="58"/>
      <c r="AZ903" s="24"/>
      <c r="BA903" s="24"/>
      <c r="BB903" s="58"/>
      <c r="BC903" s="24"/>
      <c r="BD903" s="24"/>
      <c r="BE903" s="58"/>
      <c r="BF903" s="24"/>
      <c r="BG903" s="24"/>
      <c r="BH903" s="58"/>
      <c r="BI903" s="24"/>
      <c r="BJ903" s="24"/>
      <c r="BK903" s="58"/>
      <c r="BL903" s="24"/>
      <c r="BM903" s="24"/>
      <c r="BN903" s="58"/>
      <c r="BO903" s="24"/>
      <c r="BP903" s="24"/>
      <c r="BQ903" s="58"/>
      <c r="BR903" s="24"/>
      <c r="BS903" s="24"/>
      <c r="BT903" s="58"/>
      <c r="BU903" s="24"/>
      <c r="BV903" s="24"/>
      <c r="BW903" s="58"/>
      <c r="BX903" s="24"/>
      <c r="BY903" s="24"/>
      <c r="BZ903" s="58"/>
      <c r="CA903" s="24"/>
      <c r="CB903" s="24"/>
      <c r="CC903" s="58"/>
      <c r="CD903" s="24"/>
      <c r="CE903" s="24"/>
      <c r="CF903" s="58"/>
      <c r="CG903" s="24"/>
      <c r="CH903" s="24"/>
      <c r="CI903" s="58"/>
      <c r="CJ903" s="24"/>
      <c r="CK903" s="24"/>
      <c r="CL903" s="58"/>
      <c r="CM903" s="24"/>
      <c r="CN903" s="24"/>
      <c r="CO903" s="58"/>
      <c r="CP903" s="24"/>
      <c r="CQ903" s="24"/>
      <c r="CR903" s="58"/>
      <c r="CS903" s="24"/>
      <c r="CT903" s="24"/>
      <c r="CU903" s="58"/>
    </row>
    <row r="904">
      <c r="A904" s="24"/>
      <c r="B904" s="24"/>
      <c r="C904" s="24"/>
      <c r="D904" s="24"/>
      <c r="E904" s="24"/>
      <c r="F904" s="58"/>
      <c r="G904" s="24"/>
      <c r="H904" s="24"/>
      <c r="I904" s="58"/>
      <c r="J904" s="24"/>
      <c r="K904" s="24"/>
      <c r="L904" s="58"/>
      <c r="M904" s="24"/>
      <c r="N904" s="24"/>
      <c r="O904" s="58"/>
      <c r="P904" s="24"/>
      <c r="Q904" s="24"/>
      <c r="R904" s="58"/>
      <c r="S904" s="24"/>
      <c r="T904" s="24"/>
      <c r="U904" s="58"/>
      <c r="V904" s="24"/>
      <c r="W904" s="24"/>
      <c r="X904" s="58"/>
      <c r="Y904" s="24"/>
      <c r="Z904" s="24"/>
      <c r="AA904" s="58"/>
      <c r="AB904" s="24"/>
      <c r="AC904" s="24"/>
      <c r="AD904" s="58"/>
      <c r="AE904" s="24"/>
      <c r="AF904" s="24"/>
      <c r="AG904" s="58"/>
      <c r="AH904" s="24"/>
      <c r="AI904" s="24"/>
      <c r="AJ904" s="58"/>
      <c r="AK904" s="24"/>
      <c r="AL904" s="24"/>
      <c r="AM904" s="58"/>
      <c r="AN904" s="24"/>
      <c r="AO904" s="24"/>
      <c r="AP904" s="58"/>
      <c r="AQ904" s="24"/>
      <c r="AR904" s="24"/>
      <c r="AS904" s="58"/>
      <c r="AT904" s="24"/>
      <c r="AU904" s="24"/>
      <c r="AV904" s="58"/>
      <c r="AW904" s="24"/>
      <c r="AX904" s="24"/>
      <c r="AY904" s="58"/>
      <c r="AZ904" s="24"/>
      <c r="BA904" s="24"/>
      <c r="BB904" s="58"/>
      <c r="BC904" s="24"/>
      <c r="BD904" s="24"/>
      <c r="BE904" s="58"/>
      <c r="BF904" s="24"/>
      <c r="BG904" s="24"/>
      <c r="BH904" s="58"/>
      <c r="BI904" s="24"/>
      <c r="BJ904" s="24"/>
      <c r="BK904" s="58"/>
      <c r="BL904" s="24"/>
      <c r="BM904" s="24"/>
      <c r="BN904" s="58"/>
      <c r="BO904" s="24"/>
      <c r="BP904" s="24"/>
      <c r="BQ904" s="58"/>
      <c r="BR904" s="24"/>
      <c r="BS904" s="24"/>
      <c r="BT904" s="58"/>
      <c r="BU904" s="24"/>
      <c r="BV904" s="24"/>
      <c r="BW904" s="58"/>
      <c r="BX904" s="24"/>
      <c r="BY904" s="24"/>
      <c r="BZ904" s="58"/>
      <c r="CA904" s="24"/>
      <c r="CB904" s="24"/>
      <c r="CC904" s="58"/>
      <c r="CD904" s="24"/>
      <c r="CE904" s="24"/>
      <c r="CF904" s="58"/>
      <c r="CG904" s="24"/>
      <c r="CH904" s="24"/>
      <c r="CI904" s="58"/>
      <c r="CJ904" s="24"/>
      <c r="CK904" s="24"/>
      <c r="CL904" s="58"/>
      <c r="CM904" s="24"/>
      <c r="CN904" s="24"/>
      <c r="CO904" s="58"/>
      <c r="CP904" s="24"/>
      <c r="CQ904" s="24"/>
      <c r="CR904" s="58"/>
      <c r="CS904" s="24"/>
      <c r="CT904" s="24"/>
      <c r="CU904" s="58"/>
    </row>
    <row r="905">
      <c r="A905" s="24"/>
      <c r="B905" s="24"/>
      <c r="C905" s="24"/>
      <c r="D905" s="24"/>
      <c r="E905" s="24"/>
      <c r="F905" s="58"/>
      <c r="G905" s="24"/>
      <c r="H905" s="24"/>
      <c r="I905" s="58"/>
      <c r="J905" s="24"/>
      <c r="K905" s="24"/>
      <c r="L905" s="58"/>
      <c r="M905" s="24"/>
      <c r="N905" s="24"/>
      <c r="O905" s="58"/>
      <c r="P905" s="24"/>
      <c r="Q905" s="24"/>
      <c r="R905" s="58"/>
      <c r="S905" s="24"/>
      <c r="T905" s="24"/>
      <c r="U905" s="58"/>
      <c r="V905" s="24"/>
      <c r="W905" s="24"/>
      <c r="X905" s="58"/>
      <c r="Y905" s="24"/>
      <c r="Z905" s="24"/>
      <c r="AA905" s="58"/>
      <c r="AB905" s="24"/>
      <c r="AC905" s="24"/>
      <c r="AD905" s="58"/>
      <c r="AE905" s="24"/>
      <c r="AF905" s="24"/>
      <c r="AG905" s="58"/>
      <c r="AH905" s="24"/>
      <c r="AI905" s="24"/>
      <c r="AJ905" s="58"/>
      <c r="AK905" s="24"/>
      <c r="AL905" s="24"/>
      <c r="AM905" s="58"/>
      <c r="AN905" s="24"/>
      <c r="AO905" s="24"/>
      <c r="AP905" s="58"/>
      <c r="AQ905" s="24"/>
      <c r="AR905" s="24"/>
      <c r="AS905" s="58"/>
      <c r="AT905" s="24"/>
      <c r="AU905" s="24"/>
      <c r="AV905" s="58"/>
      <c r="AW905" s="24"/>
      <c r="AX905" s="24"/>
      <c r="AY905" s="58"/>
      <c r="AZ905" s="24"/>
      <c r="BA905" s="24"/>
      <c r="BB905" s="58"/>
      <c r="BC905" s="24"/>
      <c r="BD905" s="24"/>
      <c r="BE905" s="58"/>
      <c r="BF905" s="24"/>
      <c r="BG905" s="24"/>
      <c r="BH905" s="58"/>
      <c r="BI905" s="24"/>
      <c r="BJ905" s="24"/>
      <c r="BK905" s="58"/>
      <c r="BL905" s="24"/>
      <c r="BM905" s="24"/>
      <c r="BN905" s="58"/>
      <c r="BO905" s="24"/>
      <c r="BP905" s="24"/>
      <c r="BQ905" s="58"/>
      <c r="BR905" s="24"/>
      <c r="BS905" s="24"/>
      <c r="BT905" s="58"/>
      <c r="BU905" s="24"/>
      <c r="BV905" s="24"/>
      <c r="BW905" s="58"/>
      <c r="BX905" s="24"/>
      <c r="BY905" s="24"/>
      <c r="BZ905" s="58"/>
      <c r="CA905" s="24"/>
      <c r="CB905" s="24"/>
      <c r="CC905" s="58"/>
      <c r="CD905" s="24"/>
      <c r="CE905" s="24"/>
      <c r="CF905" s="58"/>
      <c r="CG905" s="24"/>
      <c r="CH905" s="24"/>
      <c r="CI905" s="58"/>
      <c r="CJ905" s="24"/>
      <c r="CK905" s="24"/>
      <c r="CL905" s="58"/>
      <c r="CM905" s="24"/>
      <c r="CN905" s="24"/>
      <c r="CO905" s="58"/>
      <c r="CP905" s="24"/>
      <c r="CQ905" s="24"/>
      <c r="CR905" s="58"/>
      <c r="CS905" s="24"/>
      <c r="CT905" s="24"/>
      <c r="CU905" s="58"/>
    </row>
    <row r="906">
      <c r="A906" s="24"/>
      <c r="B906" s="24"/>
      <c r="C906" s="24"/>
      <c r="D906" s="24"/>
      <c r="E906" s="24"/>
      <c r="F906" s="58"/>
      <c r="G906" s="24"/>
      <c r="H906" s="24"/>
      <c r="I906" s="58"/>
      <c r="J906" s="24"/>
      <c r="K906" s="24"/>
      <c r="L906" s="58"/>
      <c r="M906" s="24"/>
      <c r="N906" s="24"/>
      <c r="O906" s="58"/>
      <c r="P906" s="24"/>
      <c r="Q906" s="24"/>
      <c r="R906" s="58"/>
      <c r="S906" s="24"/>
      <c r="T906" s="24"/>
      <c r="U906" s="58"/>
      <c r="V906" s="24"/>
      <c r="W906" s="24"/>
      <c r="X906" s="58"/>
      <c r="Y906" s="24"/>
      <c r="Z906" s="24"/>
      <c r="AA906" s="58"/>
      <c r="AB906" s="24"/>
      <c r="AC906" s="24"/>
      <c r="AD906" s="58"/>
      <c r="AE906" s="24"/>
      <c r="AF906" s="24"/>
      <c r="AG906" s="58"/>
      <c r="AH906" s="24"/>
      <c r="AI906" s="24"/>
      <c r="AJ906" s="58"/>
      <c r="AK906" s="24"/>
      <c r="AL906" s="24"/>
      <c r="AM906" s="58"/>
      <c r="AN906" s="24"/>
      <c r="AO906" s="24"/>
      <c r="AP906" s="58"/>
      <c r="AQ906" s="24"/>
      <c r="AR906" s="24"/>
      <c r="AS906" s="58"/>
      <c r="AT906" s="24"/>
      <c r="AU906" s="24"/>
      <c r="AV906" s="58"/>
      <c r="AW906" s="24"/>
      <c r="AX906" s="24"/>
      <c r="AY906" s="58"/>
      <c r="AZ906" s="24"/>
      <c r="BA906" s="24"/>
      <c r="BB906" s="58"/>
      <c r="BC906" s="24"/>
      <c r="BD906" s="24"/>
      <c r="BE906" s="58"/>
      <c r="BF906" s="24"/>
      <c r="BG906" s="24"/>
      <c r="BH906" s="58"/>
      <c r="BI906" s="24"/>
      <c r="BJ906" s="24"/>
      <c r="BK906" s="58"/>
      <c r="BL906" s="24"/>
      <c r="BM906" s="24"/>
      <c r="BN906" s="58"/>
      <c r="BO906" s="24"/>
      <c r="BP906" s="24"/>
      <c r="BQ906" s="58"/>
      <c r="BR906" s="24"/>
      <c r="BS906" s="24"/>
      <c r="BT906" s="58"/>
      <c r="BU906" s="24"/>
      <c r="BV906" s="24"/>
      <c r="BW906" s="58"/>
      <c r="BX906" s="24"/>
      <c r="BY906" s="24"/>
      <c r="BZ906" s="58"/>
      <c r="CA906" s="24"/>
      <c r="CB906" s="24"/>
      <c r="CC906" s="58"/>
      <c r="CD906" s="24"/>
      <c r="CE906" s="24"/>
      <c r="CF906" s="58"/>
      <c r="CG906" s="24"/>
      <c r="CH906" s="24"/>
      <c r="CI906" s="58"/>
      <c r="CJ906" s="24"/>
      <c r="CK906" s="24"/>
      <c r="CL906" s="58"/>
      <c r="CM906" s="24"/>
      <c r="CN906" s="24"/>
      <c r="CO906" s="58"/>
      <c r="CP906" s="24"/>
      <c r="CQ906" s="24"/>
      <c r="CR906" s="58"/>
      <c r="CS906" s="24"/>
      <c r="CT906" s="24"/>
      <c r="CU906" s="58"/>
    </row>
    <row r="907">
      <c r="A907" s="24"/>
      <c r="B907" s="24"/>
      <c r="C907" s="24"/>
      <c r="D907" s="24"/>
      <c r="E907" s="24"/>
      <c r="F907" s="58"/>
      <c r="G907" s="24"/>
      <c r="H907" s="24"/>
      <c r="I907" s="58"/>
      <c r="J907" s="24"/>
      <c r="K907" s="24"/>
      <c r="L907" s="58"/>
      <c r="M907" s="24"/>
      <c r="N907" s="24"/>
      <c r="O907" s="58"/>
      <c r="P907" s="24"/>
      <c r="Q907" s="24"/>
      <c r="R907" s="58"/>
      <c r="S907" s="24"/>
      <c r="T907" s="24"/>
      <c r="U907" s="58"/>
      <c r="V907" s="24"/>
      <c r="W907" s="24"/>
      <c r="X907" s="58"/>
      <c r="Y907" s="24"/>
      <c r="Z907" s="24"/>
      <c r="AA907" s="58"/>
      <c r="AB907" s="24"/>
      <c r="AC907" s="24"/>
      <c r="AD907" s="58"/>
      <c r="AE907" s="24"/>
      <c r="AF907" s="24"/>
      <c r="AG907" s="58"/>
      <c r="AH907" s="24"/>
      <c r="AI907" s="24"/>
      <c r="AJ907" s="58"/>
      <c r="AK907" s="24"/>
      <c r="AL907" s="24"/>
      <c r="AM907" s="58"/>
      <c r="AN907" s="24"/>
      <c r="AO907" s="24"/>
      <c r="AP907" s="58"/>
      <c r="AQ907" s="24"/>
      <c r="AR907" s="24"/>
      <c r="AS907" s="58"/>
      <c r="AT907" s="24"/>
      <c r="AU907" s="24"/>
      <c r="AV907" s="58"/>
      <c r="AW907" s="24"/>
      <c r="AX907" s="24"/>
      <c r="AY907" s="58"/>
      <c r="AZ907" s="24"/>
      <c r="BA907" s="24"/>
      <c r="BB907" s="58"/>
      <c r="BC907" s="24"/>
      <c r="BD907" s="24"/>
      <c r="BE907" s="58"/>
      <c r="BF907" s="24"/>
      <c r="BG907" s="24"/>
      <c r="BH907" s="58"/>
      <c r="BI907" s="24"/>
      <c r="BJ907" s="24"/>
      <c r="BK907" s="58"/>
      <c r="BL907" s="24"/>
      <c r="BM907" s="24"/>
      <c r="BN907" s="58"/>
      <c r="BO907" s="24"/>
      <c r="BP907" s="24"/>
      <c r="BQ907" s="58"/>
      <c r="BR907" s="24"/>
      <c r="BS907" s="24"/>
      <c r="BT907" s="58"/>
      <c r="BU907" s="24"/>
      <c r="BV907" s="24"/>
      <c r="BW907" s="58"/>
      <c r="BX907" s="24"/>
      <c r="BY907" s="24"/>
      <c r="BZ907" s="58"/>
      <c r="CA907" s="24"/>
      <c r="CB907" s="24"/>
      <c r="CC907" s="58"/>
      <c r="CD907" s="24"/>
      <c r="CE907" s="24"/>
      <c r="CF907" s="58"/>
      <c r="CG907" s="24"/>
      <c r="CH907" s="24"/>
      <c r="CI907" s="58"/>
      <c r="CJ907" s="24"/>
      <c r="CK907" s="24"/>
      <c r="CL907" s="58"/>
      <c r="CM907" s="24"/>
      <c r="CN907" s="24"/>
      <c r="CO907" s="58"/>
      <c r="CP907" s="24"/>
      <c r="CQ907" s="24"/>
      <c r="CR907" s="58"/>
      <c r="CS907" s="24"/>
      <c r="CT907" s="24"/>
      <c r="CU907" s="58"/>
    </row>
    <row r="908">
      <c r="A908" s="24"/>
      <c r="B908" s="24"/>
      <c r="C908" s="24"/>
      <c r="D908" s="24"/>
      <c r="E908" s="24"/>
      <c r="F908" s="58"/>
      <c r="G908" s="24"/>
      <c r="H908" s="24"/>
      <c r="I908" s="58"/>
      <c r="J908" s="24"/>
      <c r="K908" s="24"/>
      <c r="L908" s="58"/>
      <c r="M908" s="24"/>
      <c r="N908" s="24"/>
      <c r="O908" s="58"/>
      <c r="P908" s="24"/>
      <c r="Q908" s="24"/>
      <c r="R908" s="58"/>
      <c r="S908" s="24"/>
      <c r="T908" s="24"/>
      <c r="U908" s="58"/>
      <c r="V908" s="24"/>
      <c r="W908" s="24"/>
      <c r="X908" s="58"/>
      <c r="Y908" s="24"/>
      <c r="Z908" s="24"/>
      <c r="AA908" s="58"/>
      <c r="AB908" s="24"/>
      <c r="AC908" s="24"/>
      <c r="AD908" s="58"/>
      <c r="AE908" s="24"/>
      <c r="AF908" s="24"/>
      <c r="AG908" s="58"/>
      <c r="AH908" s="24"/>
      <c r="AI908" s="24"/>
      <c r="AJ908" s="58"/>
      <c r="AK908" s="24"/>
      <c r="AL908" s="24"/>
      <c r="AM908" s="58"/>
      <c r="AN908" s="24"/>
      <c r="AO908" s="24"/>
      <c r="AP908" s="58"/>
      <c r="AQ908" s="24"/>
      <c r="AR908" s="24"/>
      <c r="AS908" s="58"/>
      <c r="AT908" s="24"/>
      <c r="AU908" s="24"/>
      <c r="AV908" s="58"/>
      <c r="AW908" s="24"/>
      <c r="AX908" s="24"/>
      <c r="AY908" s="58"/>
      <c r="AZ908" s="24"/>
      <c r="BA908" s="24"/>
      <c r="BB908" s="58"/>
      <c r="BC908" s="24"/>
      <c r="BD908" s="24"/>
      <c r="BE908" s="58"/>
      <c r="BF908" s="24"/>
      <c r="BG908" s="24"/>
      <c r="BH908" s="58"/>
      <c r="BI908" s="24"/>
      <c r="BJ908" s="24"/>
      <c r="BK908" s="58"/>
      <c r="BL908" s="24"/>
      <c r="BM908" s="24"/>
      <c r="BN908" s="58"/>
      <c r="BO908" s="24"/>
      <c r="BP908" s="24"/>
      <c r="BQ908" s="58"/>
      <c r="BR908" s="24"/>
      <c r="BS908" s="24"/>
      <c r="BT908" s="58"/>
      <c r="BU908" s="24"/>
      <c r="BV908" s="24"/>
      <c r="BW908" s="58"/>
      <c r="BX908" s="24"/>
      <c r="BY908" s="24"/>
      <c r="BZ908" s="58"/>
      <c r="CA908" s="24"/>
      <c r="CB908" s="24"/>
      <c r="CC908" s="58"/>
      <c r="CD908" s="24"/>
      <c r="CE908" s="24"/>
      <c r="CF908" s="58"/>
      <c r="CG908" s="24"/>
      <c r="CH908" s="24"/>
      <c r="CI908" s="58"/>
      <c r="CJ908" s="24"/>
      <c r="CK908" s="24"/>
      <c r="CL908" s="58"/>
      <c r="CM908" s="24"/>
      <c r="CN908" s="24"/>
      <c r="CO908" s="58"/>
      <c r="CP908" s="24"/>
      <c r="CQ908" s="24"/>
      <c r="CR908" s="58"/>
      <c r="CS908" s="24"/>
      <c r="CT908" s="24"/>
      <c r="CU908" s="58"/>
    </row>
    <row r="909">
      <c r="A909" s="24"/>
      <c r="B909" s="24"/>
      <c r="C909" s="24"/>
      <c r="D909" s="24"/>
      <c r="E909" s="24"/>
      <c r="F909" s="58"/>
      <c r="G909" s="24"/>
      <c r="H909" s="24"/>
      <c r="I909" s="58"/>
      <c r="J909" s="24"/>
      <c r="K909" s="24"/>
      <c r="L909" s="58"/>
      <c r="M909" s="24"/>
      <c r="N909" s="24"/>
      <c r="O909" s="58"/>
      <c r="P909" s="24"/>
      <c r="Q909" s="24"/>
      <c r="R909" s="58"/>
      <c r="S909" s="24"/>
      <c r="T909" s="24"/>
      <c r="U909" s="58"/>
      <c r="V909" s="24"/>
      <c r="W909" s="24"/>
      <c r="X909" s="58"/>
      <c r="Y909" s="24"/>
      <c r="Z909" s="24"/>
      <c r="AA909" s="58"/>
      <c r="AB909" s="24"/>
      <c r="AC909" s="24"/>
      <c r="AD909" s="58"/>
      <c r="AE909" s="24"/>
      <c r="AF909" s="24"/>
      <c r="AG909" s="58"/>
      <c r="AH909" s="24"/>
      <c r="AI909" s="24"/>
      <c r="AJ909" s="58"/>
      <c r="AK909" s="24"/>
      <c r="AL909" s="24"/>
      <c r="AM909" s="58"/>
      <c r="AN909" s="24"/>
      <c r="AO909" s="24"/>
      <c r="AP909" s="58"/>
      <c r="AQ909" s="24"/>
      <c r="AR909" s="24"/>
      <c r="AS909" s="58"/>
      <c r="AT909" s="24"/>
      <c r="AU909" s="24"/>
      <c r="AV909" s="58"/>
      <c r="AW909" s="24"/>
      <c r="AX909" s="24"/>
      <c r="AY909" s="58"/>
      <c r="AZ909" s="24"/>
      <c r="BA909" s="24"/>
      <c r="BB909" s="58"/>
      <c r="BC909" s="24"/>
      <c r="BD909" s="24"/>
      <c r="BE909" s="58"/>
      <c r="BF909" s="24"/>
      <c r="BG909" s="24"/>
      <c r="BH909" s="58"/>
      <c r="BI909" s="24"/>
      <c r="BJ909" s="24"/>
      <c r="BK909" s="58"/>
      <c r="BL909" s="24"/>
      <c r="BM909" s="24"/>
      <c r="BN909" s="58"/>
      <c r="BO909" s="24"/>
      <c r="BP909" s="24"/>
      <c r="BQ909" s="58"/>
      <c r="BR909" s="24"/>
      <c r="BS909" s="24"/>
      <c r="BT909" s="58"/>
      <c r="BU909" s="24"/>
      <c r="BV909" s="24"/>
      <c r="BW909" s="58"/>
      <c r="BX909" s="24"/>
      <c r="BY909" s="24"/>
      <c r="BZ909" s="58"/>
      <c r="CA909" s="24"/>
      <c r="CB909" s="24"/>
      <c r="CC909" s="58"/>
      <c r="CD909" s="24"/>
      <c r="CE909" s="24"/>
      <c r="CF909" s="58"/>
      <c r="CG909" s="24"/>
      <c r="CH909" s="24"/>
      <c r="CI909" s="58"/>
      <c r="CJ909" s="24"/>
      <c r="CK909" s="24"/>
      <c r="CL909" s="58"/>
      <c r="CM909" s="24"/>
      <c r="CN909" s="24"/>
      <c r="CO909" s="58"/>
      <c r="CP909" s="24"/>
      <c r="CQ909" s="24"/>
      <c r="CR909" s="58"/>
      <c r="CS909" s="24"/>
      <c r="CT909" s="24"/>
      <c r="CU909" s="58"/>
    </row>
    <row r="910">
      <c r="A910" s="24"/>
      <c r="B910" s="24"/>
      <c r="C910" s="24"/>
      <c r="D910" s="24"/>
      <c r="E910" s="24"/>
      <c r="F910" s="58"/>
      <c r="G910" s="24"/>
      <c r="H910" s="24"/>
      <c r="I910" s="58"/>
      <c r="J910" s="24"/>
      <c r="K910" s="24"/>
      <c r="L910" s="58"/>
      <c r="M910" s="24"/>
      <c r="N910" s="24"/>
      <c r="O910" s="58"/>
      <c r="P910" s="24"/>
      <c r="Q910" s="24"/>
      <c r="R910" s="58"/>
      <c r="S910" s="24"/>
      <c r="T910" s="24"/>
      <c r="U910" s="58"/>
      <c r="V910" s="24"/>
      <c r="W910" s="24"/>
      <c r="X910" s="58"/>
      <c r="Y910" s="24"/>
      <c r="Z910" s="24"/>
      <c r="AA910" s="58"/>
      <c r="AB910" s="24"/>
      <c r="AC910" s="24"/>
      <c r="AD910" s="58"/>
      <c r="AE910" s="24"/>
      <c r="AF910" s="24"/>
      <c r="AG910" s="58"/>
      <c r="AH910" s="24"/>
      <c r="AI910" s="24"/>
      <c r="AJ910" s="58"/>
      <c r="AK910" s="24"/>
      <c r="AL910" s="24"/>
      <c r="AM910" s="58"/>
      <c r="AN910" s="24"/>
      <c r="AO910" s="24"/>
      <c r="AP910" s="58"/>
      <c r="AQ910" s="24"/>
      <c r="AR910" s="24"/>
      <c r="AS910" s="58"/>
      <c r="AT910" s="24"/>
      <c r="AU910" s="24"/>
      <c r="AV910" s="58"/>
      <c r="AW910" s="24"/>
      <c r="AX910" s="24"/>
      <c r="AY910" s="58"/>
      <c r="AZ910" s="24"/>
      <c r="BA910" s="24"/>
      <c r="BB910" s="58"/>
      <c r="BC910" s="24"/>
      <c r="BD910" s="24"/>
      <c r="BE910" s="58"/>
      <c r="BF910" s="24"/>
      <c r="BG910" s="24"/>
      <c r="BH910" s="58"/>
      <c r="BI910" s="24"/>
      <c r="BJ910" s="24"/>
      <c r="BK910" s="58"/>
      <c r="BL910" s="24"/>
      <c r="BM910" s="24"/>
      <c r="BN910" s="58"/>
      <c r="BO910" s="24"/>
      <c r="BP910" s="24"/>
      <c r="BQ910" s="58"/>
      <c r="BR910" s="24"/>
      <c r="BS910" s="24"/>
      <c r="BT910" s="58"/>
      <c r="BU910" s="24"/>
      <c r="BV910" s="24"/>
      <c r="BW910" s="58"/>
      <c r="BX910" s="24"/>
      <c r="BY910" s="24"/>
      <c r="BZ910" s="58"/>
      <c r="CA910" s="24"/>
      <c r="CB910" s="24"/>
      <c r="CC910" s="58"/>
      <c r="CD910" s="24"/>
      <c r="CE910" s="24"/>
      <c r="CF910" s="58"/>
      <c r="CG910" s="24"/>
      <c r="CH910" s="24"/>
      <c r="CI910" s="58"/>
      <c r="CJ910" s="24"/>
      <c r="CK910" s="24"/>
      <c r="CL910" s="58"/>
      <c r="CM910" s="24"/>
      <c r="CN910" s="24"/>
      <c r="CO910" s="58"/>
      <c r="CP910" s="24"/>
      <c r="CQ910" s="24"/>
      <c r="CR910" s="58"/>
      <c r="CS910" s="24"/>
      <c r="CT910" s="24"/>
      <c r="CU910" s="58"/>
    </row>
    <row r="911">
      <c r="A911" s="24"/>
      <c r="B911" s="24"/>
      <c r="C911" s="24"/>
      <c r="D911" s="24"/>
      <c r="E911" s="24"/>
      <c r="F911" s="58"/>
      <c r="G911" s="24"/>
      <c r="H911" s="24"/>
      <c r="I911" s="58"/>
      <c r="J911" s="24"/>
      <c r="K911" s="24"/>
      <c r="L911" s="58"/>
      <c r="M911" s="24"/>
      <c r="N911" s="24"/>
      <c r="O911" s="58"/>
      <c r="P911" s="24"/>
      <c r="Q911" s="24"/>
      <c r="R911" s="58"/>
      <c r="S911" s="24"/>
      <c r="T911" s="24"/>
      <c r="U911" s="58"/>
      <c r="V911" s="24"/>
      <c r="W911" s="24"/>
      <c r="X911" s="58"/>
      <c r="Y911" s="24"/>
      <c r="Z911" s="24"/>
      <c r="AA911" s="58"/>
      <c r="AB911" s="24"/>
      <c r="AC911" s="24"/>
      <c r="AD911" s="58"/>
      <c r="AE911" s="24"/>
      <c r="AF911" s="24"/>
      <c r="AG911" s="58"/>
      <c r="AH911" s="24"/>
      <c r="AI911" s="24"/>
      <c r="AJ911" s="58"/>
      <c r="AK911" s="24"/>
      <c r="AL911" s="24"/>
      <c r="AM911" s="58"/>
      <c r="AN911" s="24"/>
      <c r="AO911" s="24"/>
      <c r="AP911" s="58"/>
      <c r="AQ911" s="24"/>
      <c r="AR911" s="24"/>
      <c r="AS911" s="58"/>
      <c r="AT911" s="24"/>
      <c r="AU911" s="24"/>
      <c r="AV911" s="58"/>
      <c r="AW911" s="24"/>
      <c r="AX911" s="24"/>
      <c r="AY911" s="58"/>
      <c r="AZ911" s="24"/>
      <c r="BA911" s="24"/>
      <c r="BB911" s="58"/>
      <c r="BC911" s="24"/>
      <c r="BD911" s="24"/>
      <c r="BE911" s="58"/>
      <c r="BF911" s="24"/>
      <c r="BG911" s="24"/>
      <c r="BH911" s="58"/>
      <c r="BI911" s="24"/>
      <c r="BJ911" s="24"/>
      <c r="BK911" s="58"/>
      <c r="BL911" s="24"/>
      <c r="BM911" s="24"/>
      <c r="BN911" s="58"/>
      <c r="BO911" s="24"/>
      <c r="BP911" s="24"/>
      <c r="BQ911" s="58"/>
      <c r="BR911" s="24"/>
      <c r="BS911" s="24"/>
      <c r="BT911" s="58"/>
      <c r="BU911" s="24"/>
      <c r="BV911" s="24"/>
      <c r="BW911" s="58"/>
      <c r="BX911" s="24"/>
      <c r="BY911" s="24"/>
      <c r="BZ911" s="58"/>
      <c r="CA911" s="24"/>
      <c r="CB911" s="24"/>
      <c r="CC911" s="58"/>
      <c r="CD911" s="24"/>
      <c r="CE911" s="24"/>
      <c r="CF911" s="58"/>
      <c r="CG911" s="24"/>
      <c r="CH911" s="24"/>
      <c r="CI911" s="58"/>
      <c r="CJ911" s="24"/>
      <c r="CK911" s="24"/>
      <c r="CL911" s="58"/>
      <c r="CM911" s="24"/>
      <c r="CN911" s="24"/>
      <c r="CO911" s="58"/>
      <c r="CP911" s="24"/>
      <c r="CQ911" s="24"/>
      <c r="CR911" s="58"/>
      <c r="CS911" s="24"/>
      <c r="CT911" s="24"/>
      <c r="CU911" s="58"/>
    </row>
    <row r="912">
      <c r="A912" s="24"/>
      <c r="B912" s="24"/>
      <c r="C912" s="24"/>
      <c r="D912" s="24"/>
      <c r="E912" s="24"/>
      <c r="F912" s="58"/>
      <c r="G912" s="24"/>
      <c r="H912" s="24"/>
      <c r="I912" s="58"/>
      <c r="J912" s="24"/>
      <c r="K912" s="24"/>
      <c r="L912" s="58"/>
      <c r="M912" s="24"/>
      <c r="N912" s="24"/>
      <c r="O912" s="58"/>
      <c r="P912" s="24"/>
      <c r="Q912" s="24"/>
      <c r="R912" s="58"/>
      <c r="S912" s="24"/>
      <c r="T912" s="24"/>
      <c r="U912" s="58"/>
      <c r="V912" s="24"/>
      <c r="W912" s="24"/>
      <c r="X912" s="58"/>
      <c r="Y912" s="24"/>
      <c r="Z912" s="24"/>
      <c r="AA912" s="58"/>
      <c r="AB912" s="24"/>
      <c r="AC912" s="24"/>
      <c r="AD912" s="58"/>
      <c r="AE912" s="24"/>
      <c r="AF912" s="24"/>
      <c r="AG912" s="58"/>
      <c r="AH912" s="24"/>
      <c r="AI912" s="24"/>
      <c r="AJ912" s="58"/>
      <c r="AK912" s="24"/>
      <c r="AL912" s="24"/>
      <c r="AM912" s="58"/>
      <c r="AN912" s="24"/>
      <c r="AO912" s="24"/>
      <c r="AP912" s="58"/>
      <c r="AQ912" s="24"/>
      <c r="AR912" s="24"/>
      <c r="AS912" s="58"/>
      <c r="AT912" s="24"/>
      <c r="AU912" s="24"/>
      <c r="AV912" s="58"/>
      <c r="AW912" s="24"/>
      <c r="AX912" s="24"/>
      <c r="AY912" s="58"/>
      <c r="AZ912" s="24"/>
      <c r="BA912" s="24"/>
      <c r="BB912" s="58"/>
      <c r="BC912" s="24"/>
      <c r="BD912" s="24"/>
      <c r="BE912" s="58"/>
      <c r="BF912" s="24"/>
      <c r="BG912" s="24"/>
      <c r="BH912" s="58"/>
      <c r="BI912" s="24"/>
      <c r="BJ912" s="24"/>
      <c r="BK912" s="58"/>
      <c r="BL912" s="24"/>
      <c r="BM912" s="24"/>
      <c r="BN912" s="58"/>
      <c r="BO912" s="24"/>
      <c r="BP912" s="24"/>
      <c r="BQ912" s="58"/>
      <c r="BR912" s="24"/>
      <c r="BS912" s="24"/>
      <c r="BT912" s="58"/>
      <c r="BU912" s="24"/>
      <c r="BV912" s="24"/>
      <c r="BW912" s="58"/>
      <c r="BX912" s="24"/>
      <c r="BY912" s="24"/>
      <c r="BZ912" s="58"/>
      <c r="CA912" s="24"/>
      <c r="CB912" s="24"/>
      <c r="CC912" s="58"/>
      <c r="CD912" s="24"/>
      <c r="CE912" s="24"/>
      <c r="CF912" s="58"/>
      <c r="CG912" s="24"/>
      <c r="CH912" s="24"/>
      <c r="CI912" s="58"/>
      <c r="CJ912" s="24"/>
      <c r="CK912" s="24"/>
      <c r="CL912" s="58"/>
      <c r="CM912" s="24"/>
      <c r="CN912" s="24"/>
      <c r="CO912" s="58"/>
      <c r="CP912" s="24"/>
      <c r="CQ912" s="24"/>
      <c r="CR912" s="58"/>
      <c r="CS912" s="24"/>
      <c r="CT912" s="24"/>
      <c r="CU912" s="58"/>
    </row>
    <row r="913">
      <c r="A913" s="24"/>
      <c r="B913" s="24"/>
      <c r="C913" s="24"/>
      <c r="D913" s="24"/>
      <c r="E913" s="24"/>
      <c r="F913" s="58"/>
      <c r="G913" s="24"/>
      <c r="H913" s="24"/>
      <c r="I913" s="58"/>
      <c r="J913" s="24"/>
      <c r="K913" s="24"/>
      <c r="L913" s="58"/>
      <c r="M913" s="24"/>
      <c r="N913" s="24"/>
      <c r="O913" s="58"/>
      <c r="P913" s="24"/>
      <c r="Q913" s="24"/>
      <c r="R913" s="58"/>
      <c r="S913" s="24"/>
      <c r="T913" s="24"/>
      <c r="U913" s="58"/>
      <c r="V913" s="24"/>
      <c r="W913" s="24"/>
      <c r="X913" s="58"/>
      <c r="Y913" s="24"/>
      <c r="Z913" s="24"/>
      <c r="AA913" s="58"/>
      <c r="AB913" s="24"/>
      <c r="AC913" s="24"/>
      <c r="AD913" s="58"/>
      <c r="AE913" s="24"/>
      <c r="AF913" s="24"/>
      <c r="AG913" s="58"/>
      <c r="AH913" s="24"/>
      <c r="AI913" s="24"/>
      <c r="AJ913" s="58"/>
      <c r="AK913" s="24"/>
      <c r="AL913" s="24"/>
      <c r="AM913" s="58"/>
      <c r="AN913" s="24"/>
      <c r="AO913" s="24"/>
      <c r="AP913" s="58"/>
      <c r="AQ913" s="24"/>
      <c r="AR913" s="24"/>
      <c r="AS913" s="58"/>
      <c r="AT913" s="24"/>
      <c r="AU913" s="24"/>
      <c r="AV913" s="58"/>
      <c r="AW913" s="24"/>
      <c r="AX913" s="24"/>
      <c r="AY913" s="58"/>
      <c r="AZ913" s="24"/>
      <c r="BA913" s="24"/>
      <c r="BB913" s="58"/>
      <c r="BC913" s="24"/>
      <c r="BD913" s="24"/>
      <c r="BE913" s="58"/>
      <c r="BF913" s="24"/>
      <c r="BG913" s="24"/>
      <c r="BH913" s="58"/>
      <c r="BI913" s="24"/>
      <c r="BJ913" s="24"/>
      <c r="BK913" s="58"/>
      <c r="BL913" s="24"/>
      <c r="BM913" s="24"/>
      <c r="BN913" s="58"/>
      <c r="BO913" s="24"/>
      <c r="BP913" s="24"/>
      <c r="BQ913" s="58"/>
      <c r="BR913" s="24"/>
      <c r="BS913" s="24"/>
      <c r="BT913" s="58"/>
      <c r="BU913" s="24"/>
      <c r="BV913" s="24"/>
      <c r="BW913" s="58"/>
      <c r="BX913" s="24"/>
      <c r="BY913" s="24"/>
      <c r="BZ913" s="58"/>
      <c r="CA913" s="24"/>
      <c r="CB913" s="24"/>
      <c r="CC913" s="58"/>
      <c r="CD913" s="24"/>
      <c r="CE913" s="24"/>
      <c r="CF913" s="58"/>
      <c r="CG913" s="24"/>
      <c r="CH913" s="24"/>
      <c r="CI913" s="58"/>
      <c r="CJ913" s="24"/>
      <c r="CK913" s="24"/>
      <c r="CL913" s="58"/>
      <c r="CM913" s="24"/>
      <c r="CN913" s="24"/>
      <c r="CO913" s="58"/>
      <c r="CP913" s="24"/>
      <c r="CQ913" s="24"/>
      <c r="CR913" s="58"/>
      <c r="CS913" s="24"/>
      <c r="CT913" s="24"/>
      <c r="CU913" s="58"/>
    </row>
    <row r="914">
      <c r="A914" s="24"/>
      <c r="B914" s="24"/>
      <c r="C914" s="24"/>
      <c r="D914" s="24"/>
      <c r="E914" s="24"/>
      <c r="F914" s="58"/>
      <c r="G914" s="24"/>
      <c r="H914" s="24"/>
      <c r="I914" s="58"/>
      <c r="J914" s="24"/>
      <c r="K914" s="24"/>
      <c r="L914" s="58"/>
      <c r="M914" s="24"/>
      <c r="N914" s="24"/>
      <c r="O914" s="58"/>
      <c r="P914" s="24"/>
      <c r="Q914" s="24"/>
      <c r="R914" s="58"/>
      <c r="S914" s="24"/>
      <c r="T914" s="24"/>
      <c r="U914" s="58"/>
      <c r="V914" s="24"/>
      <c r="W914" s="24"/>
      <c r="X914" s="58"/>
      <c r="Y914" s="24"/>
      <c r="Z914" s="24"/>
      <c r="AA914" s="58"/>
      <c r="AB914" s="24"/>
      <c r="AC914" s="24"/>
      <c r="AD914" s="58"/>
      <c r="AE914" s="24"/>
      <c r="AF914" s="24"/>
      <c r="AG914" s="58"/>
      <c r="AH914" s="24"/>
      <c r="AI914" s="24"/>
      <c r="AJ914" s="58"/>
      <c r="AK914" s="24"/>
      <c r="AL914" s="24"/>
      <c r="AM914" s="58"/>
      <c r="AN914" s="24"/>
      <c r="AO914" s="24"/>
      <c r="AP914" s="58"/>
      <c r="AQ914" s="24"/>
      <c r="AR914" s="24"/>
      <c r="AS914" s="58"/>
      <c r="AT914" s="24"/>
      <c r="AU914" s="24"/>
      <c r="AV914" s="58"/>
      <c r="AW914" s="24"/>
      <c r="AX914" s="24"/>
      <c r="AY914" s="58"/>
      <c r="AZ914" s="24"/>
      <c r="BA914" s="24"/>
      <c r="BB914" s="58"/>
      <c r="BC914" s="24"/>
      <c r="BD914" s="24"/>
      <c r="BE914" s="58"/>
      <c r="BF914" s="24"/>
      <c r="BG914" s="24"/>
      <c r="BH914" s="58"/>
      <c r="BI914" s="24"/>
      <c r="BJ914" s="24"/>
      <c r="BK914" s="58"/>
      <c r="BL914" s="24"/>
      <c r="BM914" s="24"/>
      <c r="BN914" s="58"/>
      <c r="BO914" s="24"/>
      <c r="BP914" s="24"/>
      <c r="BQ914" s="58"/>
      <c r="BR914" s="24"/>
      <c r="BS914" s="24"/>
      <c r="BT914" s="58"/>
      <c r="BU914" s="24"/>
      <c r="BV914" s="24"/>
      <c r="BW914" s="58"/>
      <c r="BX914" s="24"/>
      <c r="BY914" s="24"/>
      <c r="BZ914" s="58"/>
      <c r="CA914" s="24"/>
      <c r="CB914" s="24"/>
      <c r="CC914" s="58"/>
      <c r="CD914" s="24"/>
      <c r="CE914" s="24"/>
      <c r="CF914" s="58"/>
      <c r="CG914" s="24"/>
      <c r="CH914" s="24"/>
      <c r="CI914" s="58"/>
      <c r="CJ914" s="24"/>
      <c r="CK914" s="24"/>
      <c r="CL914" s="58"/>
      <c r="CM914" s="24"/>
      <c r="CN914" s="24"/>
      <c r="CO914" s="58"/>
      <c r="CP914" s="24"/>
      <c r="CQ914" s="24"/>
      <c r="CR914" s="58"/>
      <c r="CS914" s="24"/>
      <c r="CT914" s="24"/>
      <c r="CU914" s="58"/>
    </row>
    <row r="915">
      <c r="A915" s="24"/>
      <c r="B915" s="24"/>
      <c r="C915" s="24"/>
      <c r="D915" s="24"/>
      <c r="E915" s="24"/>
      <c r="F915" s="58"/>
      <c r="G915" s="24"/>
      <c r="H915" s="24"/>
      <c r="I915" s="58"/>
      <c r="J915" s="24"/>
      <c r="K915" s="24"/>
      <c r="L915" s="58"/>
      <c r="M915" s="24"/>
      <c r="N915" s="24"/>
      <c r="O915" s="58"/>
      <c r="P915" s="24"/>
      <c r="Q915" s="24"/>
      <c r="R915" s="58"/>
      <c r="S915" s="24"/>
      <c r="T915" s="24"/>
      <c r="U915" s="58"/>
      <c r="V915" s="24"/>
      <c r="W915" s="24"/>
      <c r="X915" s="58"/>
      <c r="Y915" s="24"/>
      <c r="Z915" s="24"/>
      <c r="AA915" s="58"/>
      <c r="AB915" s="24"/>
      <c r="AC915" s="24"/>
      <c r="AD915" s="58"/>
      <c r="AE915" s="24"/>
      <c r="AF915" s="24"/>
      <c r="AG915" s="58"/>
      <c r="AH915" s="24"/>
      <c r="AI915" s="24"/>
      <c r="AJ915" s="58"/>
      <c r="AK915" s="24"/>
      <c r="AL915" s="24"/>
      <c r="AM915" s="58"/>
      <c r="AN915" s="24"/>
      <c r="AO915" s="24"/>
      <c r="AP915" s="58"/>
      <c r="AQ915" s="24"/>
      <c r="AR915" s="24"/>
      <c r="AS915" s="58"/>
      <c r="AT915" s="24"/>
      <c r="AU915" s="24"/>
      <c r="AV915" s="58"/>
      <c r="AW915" s="24"/>
      <c r="AX915" s="24"/>
      <c r="AY915" s="58"/>
      <c r="AZ915" s="24"/>
      <c r="BA915" s="24"/>
      <c r="BB915" s="58"/>
      <c r="BC915" s="24"/>
      <c r="BD915" s="24"/>
      <c r="BE915" s="58"/>
      <c r="BF915" s="24"/>
      <c r="BG915" s="24"/>
      <c r="BH915" s="58"/>
      <c r="BI915" s="24"/>
      <c r="BJ915" s="24"/>
      <c r="BK915" s="58"/>
      <c r="BL915" s="24"/>
      <c r="BM915" s="24"/>
      <c r="BN915" s="58"/>
      <c r="BO915" s="24"/>
      <c r="BP915" s="24"/>
      <c r="BQ915" s="58"/>
      <c r="BR915" s="24"/>
      <c r="BS915" s="24"/>
      <c r="BT915" s="58"/>
      <c r="BU915" s="24"/>
      <c r="BV915" s="24"/>
      <c r="BW915" s="58"/>
      <c r="BX915" s="24"/>
      <c r="BY915" s="24"/>
      <c r="BZ915" s="58"/>
      <c r="CA915" s="24"/>
      <c r="CB915" s="24"/>
      <c r="CC915" s="58"/>
      <c r="CD915" s="24"/>
      <c r="CE915" s="24"/>
      <c r="CF915" s="58"/>
      <c r="CG915" s="24"/>
      <c r="CH915" s="24"/>
      <c r="CI915" s="58"/>
      <c r="CJ915" s="24"/>
      <c r="CK915" s="24"/>
      <c r="CL915" s="58"/>
      <c r="CM915" s="24"/>
      <c r="CN915" s="24"/>
      <c r="CO915" s="58"/>
      <c r="CP915" s="24"/>
      <c r="CQ915" s="24"/>
      <c r="CR915" s="58"/>
      <c r="CS915" s="24"/>
      <c r="CT915" s="24"/>
      <c r="CU915" s="58"/>
    </row>
    <row r="916">
      <c r="A916" s="24"/>
      <c r="B916" s="24"/>
      <c r="C916" s="24"/>
      <c r="D916" s="24"/>
      <c r="E916" s="24"/>
      <c r="F916" s="58"/>
      <c r="G916" s="24"/>
      <c r="H916" s="24"/>
      <c r="I916" s="58"/>
      <c r="J916" s="24"/>
      <c r="K916" s="24"/>
      <c r="L916" s="58"/>
      <c r="M916" s="24"/>
      <c r="N916" s="24"/>
      <c r="O916" s="58"/>
      <c r="P916" s="24"/>
      <c r="Q916" s="24"/>
      <c r="R916" s="58"/>
      <c r="S916" s="24"/>
      <c r="T916" s="24"/>
      <c r="U916" s="58"/>
      <c r="V916" s="24"/>
      <c r="W916" s="24"/>
      <c r="X916" s="58"/>
      <c r="Y916" s="24"/>
      <c r="Z916" s="24"/>
      <c r="AA916" s="58"/>
      <c r="AB916" s="24"/>
      <c r="AC916" s="24"/>
      <c r="AD916" s="58"/>
      <c r="AE916" s="24"/>
      <c r="AF916" s="24"/>
      <c r="AG916" s="58"/>
      <c r="AH916" s="24"/>
      <c r="AI916" s="24"/>
      <c r="AJ916" s="58"/>
      <c r="AK916" s="24"/>
      <c r="AL916" s="24"/>
      <c r="AM916" s="58"/>
      <c r="AN916" s="24"/>
      <c r="AO916" s="24"/>
      <c r="AP916" s="58"/>
      <c r="AQ916" s="24"/>
      <c r="AR916" s="24"/>
      <c r="AS916" s="58"/>
      <c r="AT916" s="24"/>
      <c r="AU916" s="24"/>
      <c r="AV916" s="58"/>
      <c r="AW916" s="24"/>
      <c r="AX916" s="24"/>
      <c r="AY916" s="58"/>
      <c r="AZ916" s="24"/>
      <c r="BA916" s="24"/>
      <c r="BB916" s="58"/>
      <c r="BC916" s="24"/>
      <c r="BD916" s="24"/>
      <c r="BE916" s="58"/>
      <c r="BF916" s="24"/>
      <c r="BG916" s="24"/>
      <c r="BH916" s="58"/>
      <c r="BI916" s="24"/>
      <c r="BJ916" s="24"/>
      <c r="BK916" s="58"/>
      <c r="BL916" s="24"/>
      <c r="BM916" s="24"/>
      <c r="BN916" s="58"/>
      <c r="BO916" s="24"/>
      <c r="BP916" s="24"/>
      <c r="BQ916" s="58"/>
      <c r="BR916" s="24"/>
      <c r="BS916" s="24"/>
      <c r="BT916" s="58"/>
      <c r="BU916" s="24"/>
      <c r="BV916" s="24"/>
      <c r="BW916" s="58"/>
      <c r="BX916" s="24"/>
      <c r="BY916" s="24"/>
      <c r="BZ916" s="58"/>
      <c r="CA916" s="24"/>
      <c r="CB916" s="24"/>
      <c r="CC916" s="58"/>
      <c r="CD916" s="24"/>
      <c r="CE916" s="24"/>
      <c r="CF916" s="58"/>
      <c r="CG916" s="24"/>
      <c r="CH916" s="24"/>
      <c r="CI916" s="58"/>
      <c r="CJ916" s="24"/>
      <c r="CK916" s="24"/>
      <c r="CL916" s="58"/>
      <c r="CM916" s="24"/>
      <c r="CN916" s="24"/>
      <c r="CO916" s="58"/>
      <c r="CP916" s="24"/>
      <c r="CQ916" s="24"/>
      <c r="CR916" s="58"/>
      <c r="CS916" s="24"/>
      <c r="CT916" s="24"/>
      <c r="CU916" s="58"/>
    </row>
    <row r="917">
      <c r="A917" s="24"/>
      <c r="B917" s="24"/>
      <c r="C917" s="24"/>
      <c r="D917" s="24"/>
      <c r="E917" s="24"/>
      <c r="F917" s="58"/>
      <c r="G917" s="24"/>
      <c r="H917" s="24"/>
      <c r="I917" s="58"/>
      <c r="J917" s="24"/>
      <c r="K917" s="24"/>
      <c r="L917" s="58"/>
      <c r="M917" s="24"/>
      <c r="N917" s="24"/>
      <c r="O917" s="58"/>
      <c r="P917" s="24"/>
      <c r="Q917" s="24"/>
      <c r="R917" s="58"/>
      <c r="S917" s="24"/>
      <c r="T917" s="24"/>
      <c r="U917" s="58"/>
      <c r="V917" s="24"/>
      <c r="W917" s="24"/>
      <c r="X917" s="58"/>
      <c r="Y917" s="24"/>
      <c r="Z917" s="24"/>
      <c r="AA917" s="58"/>
      <c r="AB917" s="24"/>
      <c r="AC917" s="24"/>
      <c r="AD917" s="58"/>
      <c r="AE917" s="24"/>
      <c r="AF917" s="24"/>
      <c r="AG917" s="58"/>
      <c r="AH917" s="24"/>
      <c r="AI917" s="24"/>
      <c r="AJ917" s="58"/>
      <c r="AK917" s="24"/>
      <c r="AL917" s="24"/>
      <c r="AM917" s="58"/>
      <c r="AN917" s="24"/>
      <c r="AO917" s="24"/>
      <c r="AP917" s="58"/>
      <c r="AQ917" s="24"/>
      <c r="AR917" s="24"/>
      <c r="AS917" s="58"/>
      <c r="AT917" s="24"/>
      <c r="AU917" s="24"/>
      <c r="AV917" s="58"/>
      <c r="AW917" s="24"/>
      <c r="AX917" s="24"/>
      <c r="AY917" s="58"/>
      <c r="AZ917" s="24"/>
      <c r="BA917" s="24"/>
      <c r="BB917" s="58"/>
      <c r="BC917" s="24"/>
      <c r="BD917" s="24"/>
      <c r="BE917" s="58"/>
      <c r="BF917" s="24"/>
      <c r="BG917" s="24"/>
      <c r="BH917" s="58"/>
      <c r="BI917" s="24"/>
      <c r="BJ917" s="24"/>
      <c r="BK917" s="58"/>
      <c r="BL917" s="24"/>
      <c r="BM917" s="24"/>
      <c r="BN917" s="58"/>
      <c r="BO917" s="24"/>
      <c r="BP917" s="24"/>
      <c r="BQ917" s="58"/>
      <c r="BR917" s="24"/>
      <c r="BS917" s="24"/>
      <c r="BT917" s="58"/>
      <c r="BU917" s="24"/>
      <c r="BV917" s="24"/>
      <c r="BW917" s="58"/>
      <c r="BX917" s="24"/>
      <c r="BY917" s="24"/>
      <c r="BZ917" s="58"/>
      <c r="CA917" s="24"/>
      <c r="CB917" s="24"/>
      <c r="CC917" s="58"/>
      <c r="CD917" s="24"/>
      <c r="CE917" s="24"/>
      <c r="CF917" s="58"/>
      <c r="CG917" s="24"/>
      <c r="CH917" s="24"/>
      <c r="CI917" s="58"/>
      <c r="CJ917" s="24"/>
      <c r="CK917" s="24"/>
      <c r="CL917" s="58"/>
      <c r="CM917" s="24"/>
      <c r="CN917" s="24"/>
      <c r="CO917" s="58"/>
      <c r="CP917" s="24"/>
      <c r="CQ917" s="24"/>
      <c r="CR917" s="58"/>
      <c r="CS917" s="24"/>
      <c r="CT917" s="24"/>
      <c r="CU917" s="58"/>
    </row>
    <row r="918">
      <c r="A918" s="24"/>
      <c r="B918" s="24"/>
      <c r="C918" s="24"/>
      <c r="D918" s="24"/>
      <c r="E918" s="24"/>
      <c r="F918" s="58"/>
      <c r="G918" s="24"/>
      <c r="H918" s="24"/>
      <c r="I918" s="58"/>
      <c r="J918" s="24"/>
      <c r="K918" s="24"/>
      <c r="L918" s="58"/>
      <c r="M918" s="24"/>
      <c r="N918" s="24"/>
      <c r="O918" s="58"/>
      <c r="P918" s="24"/>
      <c r="Q918" s="24"/>
      <c r="R918" s="58"/>
      <c r="S918" s="24"/>
      <c r="T918" s="24"/>
      <c r="U918" s="58"/>
      <c r="V918" s="24"/>
      <c r="W918" s="24"/>
      <c r="X918" s="58"/>
      <c r="Y918" s="24"/>
      <c r="Z918" s="24"/>
      <c r="AA918" s="58"/>
      <c r="AB918" s="24"/>
      <c r="AC918" s="24"/>
      <c r="AD918" s="58"/>
      <c r="AE918" s="24"/>
      <c r="AF918" s="24"/>
      <c r="AG918" s="58"/>
      <c r="AH918" s="24"/>
      <c r="AI918" s="24"/>
      <c r="AJ918" s="58"/>
      <c r="AK918" s="24"/>
      <c r="AL918" s="24"/>
      <c r="AM918" s="58"/>
      <c r="AN918" s="24"/>
      <c r="AO918" s="24"/>
      <c r="AP918" s="58"/>
      <c r="AQ918" s="24"/>
      <c r="AR918" s="24"/>
      <c r="AS918" s="58"/>
      <c r="AT918" s="24"/>
      <c r="AU918" s="24"/>
      <c r="AV918" s="58"/>
      <c r="AW918" s="24"/>
      <c r="AX918" s="24"/>
      <c r="AY918" s="58"/>
      <c r="AZ918" s="24"/>
      <c r="BA918" s="24"/>
      <c r="BB918" s="58"/>
      <c r="BC918" s="24"/>
      <c r="BD918" s="24"/>
      <c r="BE918" s="58"/>
      <c r="BF918" s="24"/>
      <c r="BG918" s="24"/>
      <c r="BH918" s="58"/>
      <c r="BI918" s="24"/>
      <c r="BJ918" s="24"/>
      <c r="BK918" s="58"/>
      <c r="BL918" s="24"/>
      <c r="BM918" s="24"/>
      <c r="BN918" s="58"/>
      <c r="BO918" s="24"/>
      <c r="BP918" s="24"/>
      <c r="BQ918" s="58"/>
      <c r="BR918" s="24"/>
      <c r="BS918" s="24"/>
      <c r="BT918" s="58"/>
      <c r="BU918" s="24"/>
      <c r="BV918" s="24"/>
      <c r="BW918" s="58"/>
      <c r="BX918" s="24"/>
      <c r="BY918" s="24"/>
      <c r="BZ918" s="58"/>
      <c r="CA918" s="24"/>
      <c r="CB918" s="24"/>
      <c r="CC918" s="58"/>
      <c r="CD918" s="24"/>
      <c r="CE918" s="24"/>
      <c r="CF918" s="58"/>
      <c r="CG918" s="24"/>
      <c r="CH918" s="24"/>
      <c r="CI918" s="58"/>
      <c r="CJ918" s="24"/>
      <c r="CK918" s="24"/>
      <c r="CL918" s="58"/>
      <c r="CM918" s="24"/>
      <c r="CN918" s="24"/>
      <c r="CO918" s="58"/>
      <c r="CP918" s="24"/>
      <c r="CQ918" s="24"/>
      <c r="CR918" s="58"/>
      <c r="CS918" s="24"/>
      <c r="CT918" s="24"/>
      <c r="CU918" s="58"/>
    </row>
    <row r="919">
      <c r="A919" s="24"/>
      <c r="B919" s="24"/>
      <c r="C919" s="24"/>
      <c r="D919" s="24"/>
      <c r="E919" s="24"/>
      <c r="F919" s="58"/>
      <c r="G919" s="24"/>
      <c r="H919" s="24"/>
      <c r="I919" s="58"/>
      <c r="J919" s="24"/>
      <c r="K919" s="24"/>
      <c r="L919" s="58"/>
      <c r="M919" s="24"/>
      <c r="N919" s="24"/>
      <c r="O919" s="58"/>
      <c r="P919" s="24"/>
      <c r="Q919" s="24"/>
      <c r="R919" s="58"/>
      <c r="S919" s="24"/>
      <c r="T919" s="24"/>
      <c r="U919" s="58"/>
      <c r="V919" s="24"/>
      <c r="W919" s="24"/>
      <c r="X919" s="58"/>
      <c r="Y919" s="24"/>
      <c r="Z919" s="24"/>
      <c r="AA919" s="58"/>
      <c r="AB919" s="24"/>
      <c r="AC919" s="24"/>
      <c r="AD919" s="58"/>
      <c r="AE919" s="24"/>
      <c r="AF919" s="24"/>
      <c r="AG919" s="58"/>
      <c r="AH919" s="24"/>
      <c r="AI919" s="24"/>
      <c r="AJ919" s="58"/>
      <c r="AK919" s="24"/>
      <c r="AL919" s="24"/>
      <c r="AM919" s="58"/>
      <c r="AN919" s="24"/>
      <c r="AO919" s="24"/>
      <c r="AP919" s="58"/>
      <c r="AQ919" s="24"/>
      <c r="AR919" s="24"/>
      <c r="AS919" s="58"/>
      <c r="AT919" s="24"/>
      <c r="AU919" s="24"/>
      <c r="AV919" s="58"/>
      <c r="AW919" s="24"/>
      <c r="AX919" s="24"/>
      <c r="AY919" s="58"/>
      <c r="AZ919" s="24"/>
      <c r="BA919" s="24"/>
      <c r="BB919" s="58"/>
      <c r="BC919" s="24"/>
      <c r="BD919" s="24"/>
      <c r="BE919" s="58"/>
      <c r="BF919" s="24"/>
      <c r="BG919" s="24"/>
      <c r="BH919" s="58"/>
      <c r="BI919" s="24"/>
      <c r="BJ919" s="24"/>
      <c r="BK919" s="58"/>
      <c r="BL919" s="24"/>
      <c r="BM919" s="24"/>
      <c r="BN919" s="58"/>
      <c r="BO919" s="24"/>
      <c r="BP919" s="24"/>
      <c r="BQ919" s="58"/>
      <c r="BR919" s="24"/>
      <c r="BS919" s="24"/>
      <c r="BT919" s="58"/>
      <c r="BU919" s="24"/>
      <c r="BV919" s="24"/>
      <c r="BW919" s="58"/>
      <c r="BX919" s="24"/>
      <c r="BY919" s="24"/>
      <c r="BZ919" s="58"/>
      <c r="CA919" s="24"/>
      <c r="CB919" s="24"/>
      <c r="CC919" s="58"/>
      <c r="CD919" s="24"/>
      <c r="CE919" s="24"/>
      <c r="CF919" s="58"/>
      <c r="CG919" s="24"/>
      <c r="CH919" s="24"/>
      <c r="CI919" s="58"/>
      <c r="CJ919" s="24"/>
      <c r="CK919" s="24"/>
      <c r="CL919" s="58"/>
      <c r="CM919" s="24"/>
      <c r="CN919" s="24"/>
      <c r="CO919" s="58"/>
      <c r="CP919" s="24"/>
      <c r="CQ919" s="24"/>
      <c r="CR919" s="58"/>
      <c r="CS919" s="24"/>
      <c r="CT919" s="24"/>
      <c r="CU919" s="58"/>
    </row>
    <row r="920">
      <c r="A920" s="24"/>
      <c r="B920" s="24"/>
      <c r="C920" s="24"/>
      <c r="D920" s="24"/>
      <c r="E920" s="24"/>
      <c r="F920" s="58"/>
      <c r="G920" s="24"/>
      <c r="H920" s="24"/>
      <c r="I920" s="58"/>
      <c r="J920" s="24"/>
      <c r="K920" s="24"/>
      <c r="L920" s="58"/>
      <c r="M920" s="24"/>
      <c r="N920" s="24"/>
      <c r="O920" s="58"/>
      <c r="P920" s="24"/>
      <c r="Q920" s="24"/>
      <c r="R920" s="58"/>
      <c r="S920" s="24"/>
      <c r="T920" s="24"/>
      <c r="U920" s="58"/>
      <c r="V920" s="24"/>
      <c r="W920" s="24"/>
      <c r="X920" s="58"/>
      <c r="Y920" s="24"/>
      <c r="Z920" s="24"/>
      <c r="AA920" s="58"/>
      <c r="AB920" s="24"/>
      <c r="AC920" s="24"/>
      <c r="AD920" s="58"/>
      <c r="AE920" s="24"/>
      <c r="AF920" s="24"/>
      <c r="AG920" s="58"/>
      <c r="AH920" s="24"/>
      <c r="AI920" s="24"/>
      <c r="AJ920" s="58"/>
      <c r="AK920" s="24"/>
      <c r="AL920" s="24"/>
      <c r="AM920" s="58"/>
      <c r="AN920" s="24"/>
      <c r="AO920" s="24"/>
      <c r="AP920" s="58"/>
      <c r="AQ920" s="24"/>
      <c r="AR920" s="24"/>
      <c r="AS920" s="58"/>
      <c r="AT920" s="24"/>
      <c r="AU920" s="24"/>
      <c r="AV920" s="58"/>
      <c r="AW920" s="24"/>
      <c r="AX920" s="24"/>
      <c r="AY920" s="58"/>
      <c r="AZ920" s="24"/>
      <c r="BA920" s="24"/>
      <c r="BB920" s="58"/>
      <c r="BC920" s="24"/>
      <c r="BD920" s="24"/>
      <c r="BE920" s="58"/>
      <c r="BF920" s="24"/>
      <c r="BG920" s="24"/>
      <c r="BH920" s="58"/>
      <c r="BI920" s="24"/>
      <c r="BJ920" s="24"/>
      <c r="BK920" s="58"/>
      <c r="BL920" s="24"/>
      <c r="BM920" s="24"/>
      <c r="BN920" s="58"/>
      <c r="BO920" s="24"/>
      <c r="BP920" s="24"/>
      <c r="BQ920" s="58"/>
      <c r="BR920" s="24"/>
      <c r="BS920" s="24"/>
      <c r="BT920" s="58"/>
      <c r="BU920" s="24"/>
      <c r="BV920" s="24"/>
      <c r="BW920" s="58"/>
      <c r="BX920" s="24"/>
      <c r="BY920" s="24"/>
      <c r="BZ920" s="58"/>
      <c r="CA920" s="24"/>
      <c r="CB920" s="24"/>
      <c r="CC920" s="58"/>
      <c r="CD920" s="24"/>
      <c r="CE920" s="24"/>
      <c r="CF920" s="58"/>
      <c r="CG920" s="24"/>
      <c r="CH920" s="24"/>
      <c r="CI920" s="58"/>
      <c r="CJ920" s="24"/>
      <c r="CK920" s="24"/>
      <c r="CL920" s="58"/>
      <c r="CM920" s="24"/>
      <c r="CN920" s="24"/>
      <c r="CO920" s="58"/>
      <c r="CP920" s="24"/>
      <c r="CQ920" s="24"/>
      <c r="CR920" s="58"/>
      <c r="CS920" s="24"/>
      <c r="CT920" s="24"/>
      <c r="CU920" s="58"/>
    </row>
    <row r="921">
      <c r="A921" s="24"/>
      <c r="B921" s="24"/>
      <c r="C921" s="24"/>
      <c r="D921" s="24"/>
      <c r="E921" s="24"/>
      <c r="F921" s="58"/>
      <c r="G921" s="24"/>
      <c r="H921" s="24"/>
      <c r="I921" s="58"/>
      <c r="J921" s="24"/>
      <c r="K921" s="24"/>
      <c r="L921" s="58"/>
      <c r="M921" s="24"/>
      <c r="N921" s="24"/>
      <c r="O921" s="58"/>
      <c r="P921" s="24"/>
      <c r="Q921" s="24"/>
      <c r="R921" s="58"/>
      <c r="S921" s="24"/>
      <c r="T921" s="24"/>
      <c r="U921" s="58"/>
      <c r="V921" s="24"/>
      <c r="W921" s="24"/>
      <c r="X921" s="58"/>
      <c r="Y921" s="24"/>
      <c r="Z921" s="24"/>
      <c r="AA921" s="58"/>
      <c r="AB921" s="24"/>
      <c r="AC921" s="24"/>
      <c r="AD921" s="58"/>
      <c r="AE921" s="24"/>
      <c r="AF921" s="24"/>
      <c r="AG921" s="58"/>
      <c r="AH921" s="24"/>
      <c r="AI921" s="24"/>
      <c r="AJ921" s="58"/>
      <c r="AK921" s="24"/>
      <c r="AL921" s="24"/>
      <c r="AM921" s="58"/>
      <c r="AN921" s="24"/>
      <c r="AO921" s="24"/>
      <c r="AP921" s="58"/>
      <c r="AQ921" s="24"/>
      <c r="AR921" s="24"/>
      <c r="AS921" s="58"/>
      <c r="AT921" s="24"/>
      <c r="AU921" s="24"/>
      <c r="AV921" s="58"/>
      <c r="AW921" s="24"/>
      <c r="AX921" s="24"/>
      <c r="AY921" s="58"/>
      <c r="AZ921" s="24"/>
      <c r="BA921" s="24"/>
      <c r="BB921" s="58"/>
      <c r="BC921" s="24"/>
      <c r="BD921" s="24"/>
      <c r="BE921" s="58"/>
      <c r="BF921" s="24"/>
      <c r="BG921" s="24"/>
      <c r="BH921" s="58"/>
      <c r="BI921" s="24"/>
      <c r="BJ921" s="24"/>
      <c r="BK921" s="58"/>
      <c r="BL921" s="24"/>
      <c r="BM921" s="24"/>
      <c r="BN921" s="58"/>
      <c r="BO921" s="24"/>
      <c r="BP921" s="24"/>
      <c r="BQ921" s="58"/>
      <c r="BR921" s="24"/>
      <c r="BS921" s="24"/>
      <c r="BT921" s="58"/>
      <c r="BU921" s="24"/>
      <c r="BV921" s="24"/>
      <c r="BW921" s="58"/>
      <c r="BX921" s="24"/>
      <c r="BY921" s="24"/>
      <c r="BZ921" s="58"/>
      <c r="CA921" s="24"/>
      <c r="CB921" s="24"/>
      <c r="CC921" s="58"/>
      <c r="CD921" s="24"/>
      <c r="CE921" s="24"/>
      <c r="CF921" s="58"/>
      <c r="CG921" s="24"/>
      <c r="CH921" s="24"/>
      <c r="CI921" s="58"/>
      <c r="CJ921" s="24"/>
      <c r="CK921" s="24"/>
      <c r="CL921" s="58"/>
      <c r="CM921" s="24"/>
      <c r="CN921" s="24"/>
      <c r="CO921" s="58"/>
      <c r="CP921" s="24"/>
      <c r="CQ921" s="24"/>
      <c r="CR921" s="58"/>
      <c r="CS921" s="24"/>
      <c r="CT921" s="24"/>
      <c r="CU921" s="58"/>
    </row>
    <row r="922">
      <c r="A922" s="24"/>
      <c r="B922" s="24"/>
      <c r="C922" s="24"/>
      <c r="D922" s="24"/>
      <c r="E922" s="24"/>
      <c r="F922" s="58"/>
      <c r="G922" s="24"/>
      <c r="H922" s="24"/>
      <c r="I922" s="58"/>
      <c r="J922" s="24"/>
      <c r="K922" s="24"/>
      <c r="L922" s="58"/>
      <c r="M922" s="24"/>
      <c r="N922" s="24"/>
      <c r="O922" s="58"/>
      <c r="P922" s="24"/>
      <c r="Q922" s="24"/>
      <c r="R922" s="58"/>
      <c r="S922" s="24"/>
      <c r="T922" s="24"/>
      <c r="U922" s="58"/>
      <c r="V922" s="24"/>
      <c r="W922" s="24"/>
      <c r="X922" s="58"/>
      <c r="Y922" s="24"/>
      <c r="Z922" s="24"/>
      <c r="AA922" s="58"/>
      <c r="AB922" s="24"/>
      <c r="AC922" s="24"/>
      <c r="AD922" s="58"/>
      <c r="AE922" s="24"/>
      <c r="AF922" s="24"/>
      <c r="AG922" s="58"/>
      <c r="AH922" s="24"/>
      <c r="AI922" s="24"/>
      <c r="AJ922" s="58"/>
      <c r="AK922" s="24"/>
      <c r="AL922" s="24"/>
      <c r="AM922" s="58"/>
      <c r="AN922" s="24"/>
      <c r="AO922" s="24"/>
      <c r="AP922" s="58"/>
      <c r="AQ922" s="24"/>
      <c r="AR922" s="24"/>
      <c r="AS922" s="58"/>
      <c r="AT922" s="24"/>
      <c r="AU922" s="24"/>
      <c r="AV922" s="58"/>
      <c r="AW922" s="24"/>
      <c r="AX922" s="24"/>
      <c r="AY922" s="58"/>
      <c r="AZ922" s="24"/>
      <c r="BA922" s="24"/>
      <c r="BB922" s="58"/>
      <c r="BC922" s="24"/>
      <c r="BD922" s="24"/>
      <c r="BE922" s="58"/>
      <c r="BF922" s="24"/>
      <c r="BG922" s="24"/>
      <c r="BH922" s="58"/>
      <c r="BI922" s="24"/>
      <c r="BJ922" s="24"/>
      <c r="BK922" s="58"/>
      <c r="BL922" s="24"/>
      <c r="BM922" s="24"/>
      <c r="BN922" s="58"/>
      <c r="BO922" s="24"/>
      <c r="BP922" s="24"/>
      <c r="BQ922" s="58"/>
      <c r="BR922" s="24"/>
      <c r="BS922" s="24"/>
      <c r="BT922" s="58"/>
      <c r="BU922" s="24"/>
      <c r="BV922" s="24"/>
      <c r="BW922" s="58"/>
      <c r="BX922" s="24"/>
      <c r="BY922" s="24"/>
      <c r="BZ922" s="58"/>
      <c r="CA922" s="24"/>
      <c r="CB922" s="24"/>
      <c r="CC922" s="58"/>
      <c r="CD922" s="24"/>
      <c r="CE922" s="24"/>
      <c r="CF922" s="58"/>
      <c r="CG922" s="24"/>
      <c r="CH922" s="24"/>
      <c r="CI922" s="58"/>
      <c r="CJ922" s="24"/>
      <c r="CK922" s="24"/>
      <c r="CL922" s="58"/>
      <c r="CM922" s="24"/>
      <c r="CN922" s="24"/>
      <c r="CO922" s="58"/>
      <c r="CP922" s="24"/>
      <c r="CQ922" s="24"/>
      <c r="CR922" s="58"/>
      <c r="CS922" s="24"/>
      <c r="CT922" s="24"/>
      <c r="CU922" s="58"/>
    </row>
    <row r="923">
      <c r="A923" s="24"/>
      <c r="B923" s="24"/>
      <c r="C923" s="24"/>
      <c r="D923" s="24"/>
      <c r="E923" s="24"/>
      <c r="F923" s="58"/>
      <c r="G923" s="24"/>
      <c r="H923" s="24"/>
      <c r="I923" s="58"/>
      <c r="J923" s="24"/>
      <c r="K923" s="24"/>
      <c r="L923" s="58"/>
      <c r="M923" s="24"/>
      <c r="N923" s="24"/>
      <c r="O923" s="58"/>
      <c r="P923" s="24"/>
      <c r="Q923" s="24"/>
      <c r="R923" s="58"/>
      <c r="S923" s="24"/>
      <c r="T923" s="24"/>
      <c r="U923" s="58"/>
      <c r="V923" s="24"/>
      <c r="W923" s="24"/>
      <c r="X923" s="58"/>
      <c r="Y923" s="24"/>
      <c r="Z923" s="24"/>
      <c r="AA923" s="58"/>
      <c r="AB923" s="24"/>
      <c r="AC923" s="24"/>
      <c r="AD923" s="58"/>
      <c r="AE923" s="24"/>
      <c r="AF923" s="24"/>
      <c r="AG923" s="58"/>
      <c r="AH923" s="24"/>
      <c r="AI923" s="24"/>
      <c r="AJ923" s="58"/>
      <c r="AK923" s="24"/>
      <c r="AL923" s="24"/>
      <c r="AM923" s="58"/>
      <c r="AN923" s="24"/>
      <c r="AO923" s="24"/>
      <c r="AP923" s="58"/>
      <c r="AQ923" s="24"/>
      <c r="AR923" s="24"/>
      <c r="AS923" s="58"/>
      <c r="AT923" s="24"/>
      <c r="AU923" s="24"/>
      <c r="AV923" s="58"/>
      <c r="AW923" s="24"/>
      <c r="AX923" s="24"/>
      <c r="AY923" s="58"/>
      <c r="AZ923" s="24"/>
      <c r="BA923" s="24"/>
      <c r="BB923" s="58"/>
      <c r="BC923" s="24"/>
      <c r="BD923" s="24"/>
      <c r="BE923" s="58"/>
      <c r="BF923" s="24"/>
      <c r="BG923" s="24"/>
      <c r="BH923" s="58"/>
      <c r="BI923" s="24"/>
      <c r="BJ923" s="24"/>
      <c r="BK923" s="58"/>
      <c r="BL923" s="24"/>
      <c r="BM923" s="24"/>
      <c r="BN923" s="58"/>
      <c r="BO923" s="24"/>
      <c r="BP923" s="24"/>
      <c r="BQ923" s="58"/>
      <c r="BR923" s="24"/>
      <c r="BS923" s="24"/>
      <c r="BT923" s="58"/>
      <c r="BU923" s="24"/>
      <c r="BV923" s="24"/>
      <c r="BW923" s="58"/>
      <c r="BX923" s="24"/>
      <c r="BY923" s="24"/>
      <c r="BZ923" s="58"/>
      <c r="CA923" s="24"/>
      <c r="CB923" s="24"/>
      <c r="CC923" s="58"/>
      <c r="CD923" s="24"/>
      <c r="CE923" s="24"/>
      <c r="CF923" s="58"/>
      <c r="CG923" s="24"/>
      <c r="CH923" s="24"/>
      <c r="CI923" s="58"/>
      <c r="CJ923" s="24"/>
      <c r="CK923" s="24"/>
      <c r="CL923" s="58"/>
      <c r="CM923" s="24"/>
      <c r="CN923" s="24"/>
      <c r="CO923" s="58"/>
      <c r="CP923" s="24"/>
      <c r="CQ923" s="24"/>
      <c r="CR923" s="58"/>
      <c r="CS923" s="24"/>
      <c r="CT923" s="24"/>
      <c r="CU923" s="58"/>
    </row>
    <row r="924">
      <c r="A924" s="24"/>
      <c r="B924" s="24"/>
      <c r="C924" s="24"/>
      <c r="D924" s="24"/>
      <c r="E924" s="24"/>
      <c r="F924" s="58"/>
      <c r="G924" s="24"/>
      <c r="H924" s="24"/>
      <c r="I924" s="58"/>
      <c r="J924" s="24"/>
      <c r="K924" s="24"/>
      <c r="L924" s="58"/>
      <c r="M924" s="24"/>
      <c r="N924" s="24"/>
      <c r="O924" s="58"/>
      <c r="P924" s="24"/>
      <c r="Q924" s="24"/>
      <c r="R924" s="58"/>
      <c r="S924" s="24"/>
      <c r="T924" s="24"/>
      <c r="U924" s="58"/>
      <c r="V924" s="24"/>
      <c r="W924" s="24"/>
      <c r="X924" s="58"/>
      <c r="Y924" s="24"/>
      <c r="Z924" s="24"/>
      <c r="AA924" s="58"/>
      <c r="AB924" s="24"/>
      <c r="AC924" s="24"/>
      <c r="AD924" s="58"/>
      <c r="AE924" s="24"/>
      <c r="AF924" s="24"/>
      <c r="AG924" s="58"/>
      <c r="AH924" s="24"/>
      <c r="AI924" s="24"/>
      <c r="AJ924" s="58"/>
      <c r="AK924" s="24"/>
      <c r="AL924" s="24"/>
      <c r="AM924" s="58"/>
      <c r="AN924" s="24"/>
      <c r="AO924" s="24"/>
      <c r="AP924" s="58"/>
      <c r="AQ924" s="24"/>
      <c r="AR924" s="24"/>
      <c r="AS924" s="58"/>
      <c r="AT924" s="24"/>
      <c r="AU924" s="24"/>
      <c r="AV924" s="58"/>
      <c r="AW924" s="24"/>
      <c r="AX924" s="24"/>
      <c r="AY924" s="58"/>
      <c r="AZ924" s="24"/>
      <c r="BA924" s="24"/>
      <c r="BB924" s="58"/>
      <c r="BC924" s="24"/>
      <c r="BD924" s="24"/>
      <c r="BE924" s="58"/>
      <c r="BF924" s="24"/>
      <c r="BG924" s="24"/>
      <c r="BH924" s="58"/>
      <c r="BI924" s="24"/>
      <c r="BJ924" s="24"/>
      <c r="BK924" s="58"/>
      <c r="BL924" s="24"/>
      <c r="BM924" s="24"/>
      <c r="BN924" s="58"/>
      <c r="BO924" s="24"/>
      <c r="BP924" s="24"/>
      <c r="BQ924" s="58"/>
      <c r="BR924" s="24"/>
      <c r="BS924" s="24"/>
      <c r="BT924" s="58"/>
      <c r="BU924" s="24"/>
      <c r="BV924" s="24"/>
      <c r="BW924" s="58"/>
      <c r="BX924" s="24"/>
      <c r="BY924" s="24"/>
      <c r="BZ924" s="58"/>
      <c r="CA924" s="24"/>
      <c r="CB924" s="24"/>
      <c r="CC924" s="58"/>
      <c r="CD924" s="24"/>
      <c r="CE924" s="24"/>
      <c r="CF924" s="58"/>
      <c r="CG924" s="24"/>
      <c r="CH924" s="24"/>
      <c r="CI924" s="58"/>
      <c r="CJ924" s="24"/>
      <c r="CK924" s="24"/>
      <c r="CL924" s="58"/>
      <c r="CM924" s="24"/>
      <c r="CN924" s="24"/>
      <c r="CO924" s="58"/>
      <c r="CP924" s="24"/>
      <c r="CQ924" s="24"/>
      <c r="CR924" s="58"/>
      <c r="CS924" s="24"/>
      <c r="CT924" s="24"/>
      <c r="CU924" s="58"/>
    </row>
    <row r="925">
      <c r="A925" s="24"/>
      <c r="B925" s="24"/>
      <c r="C925" s="24"/>
      <c r="D925" s="24"/>
      <c r="E925" s="24"/>
      <c r="F925" s="58"/>
      <c r="G925" s="24"/>
      <c r="H925" s="24"/>
      <c r="I925" s="58"/>
      <c r="J925" s="24"/>
      <c r="K925" s="24"/>
      <c r="L925" s="58"/>
      <c r="M925" s="24"/>
      <c r="N925" s="24"/>
      <c r="O925" s="58"/>
      <c r="P925" s="24"/>
      <c r="Q925" s="24"/>
      <c r="R925" s="58"/>
      <c r="S925" s="24"/>
      <c r="T925" s="24"/>
      <c r="U925" s="58"/>
      <c r="V925" s="24"/>
      <c r="W925" s="24"/>
      <c r="X925" s="58"/>
      <c r="Y925" s="24"/>
      <c r="Z925" s="24"/>
      <c r="AA925" s="58"/>
      <c r="AB925" s="24"/>
      <c r="AC925" s="24"/>
      <c r="AD925" s="58"/>
      <c r="AE925" s="24"/>
      <c r="AF925" s="24"/>
      <c r="AG925" s="58"/>
      <c r="AH925" s="24"/>
      <c r="AI925" s="24"/>
      <c r="AJ925" s="58"/>
      <c r="AK925" s="24"/>
      <c r="AL925" s="24"/>
      <c r="AM925" s="58"/>
      <c r="AN925" s="24"/>
      <c r="AO925" s="24"/>
      <c r="AP925" s="58"/>
      <c r="AQ925" s="24"/>
      <c r="AR925" s="24"/>
      <c r="AS925" s="58"/>
      <c r="AT925" s="24"/>
      <c r="AU925" s="24"/>
      <c r="AV925" s="58"/>
      <c r="AW925" s="24"/>
      <c r="AX925" s="24"/>
      <c r="AY925" s="58"/>
      <c r="AZ925" s="24"/>
      <c r="BA925" s="24"/>
      <c r="BB925" s="58"/>
      <c r="BC925" s="24"/>
      <c r="BD925" s="24"/>
      <c r="BE925" s="58"/>
      <c r="BF925" s="24"/>
      <c r="BG925" s="24"/>
      <c r="BH925" s="58"/>
      <c r="BI925" s="24"/>
      <c r="BJ925" s="24"/>
      <c r="BK925" s="58"/>
      <c r="BL925" s="24"/>
      <c r="BM925" s="24"/>
      <c r="BN925" s="58"/>
      <c r="BO925" s="24"/>
      <c r="BP925" s="24"/>
      <c r="BQ925" s="58"/>
      <c r="BR925" s="24"/>
      <c r="BS925" s="24"/>
      <c r="BT925" s="58"/>
      <c r="BU925" s="24"/>
      <c r="BV925" s="24"/>
      <c r="BW925" s="58"/>
      <c r="BX925" s="24"/>
      <c r="BY925" s="24"/>
      <c r="BZ925" s="58"/>
      <c r="CA925" s="24"/>
      <c r="CB925" s="24"/>
      <c r="CC925" s="58"/>
      <c r="CD925" s="24"/>
      <c r="CE925" s="24"/>
      <c r="CF925" s="58"/>
      <c r="CG925" s="24"/>
      <c r="CH925" s="24"/>
      <c r="CI925" s="58"/>
      <c r="CJ925" s="24"/>
      <c r="CK925" s="24"/>
      <c r="CL925" s="58"/>
      <c r="CM925" s="24"/>
      <c r="CN925" s="24"/>
      <c r="CO925" s="58"/>
      <c r="CP925" s="24"/>
      <c r="CQ925" s="24"/>
      <c r="CR925" s="58"/>
      <c r="CS925" s="24"/>
      <c r="CT925" s="24"/>
      <c r="CU925" s="58"/>
    </row>
    <row r="926">
      <c r="A926" s="24"/>
      <c r="B926" s="24"/>
      <c r="C926" s="24"/>
      <c r="D926" s="24"/>
      <c r="E926" s="24"/>
      <c r="F926" s="58"/>
      <c r="G926" s="24"/>
      <c r="H926" s="24"/>
      <c r="I926" s="58"/>
      <c r="J926" s="24"/>
      <c r="K926" s="24"/>
      <c r="L926" s="58"/>
      <c r="M926" s="24"/>
      <c r="N926" s="24"/>
      <c r="O926" s="58"/>
      <c r="P926" s="24"/>
      <c r="Q926" s="24"/>
      <c r="R926" s="58"/>
      <c r="S926" s="24"/>
      <c r="T926" s="24"/>
      <c r="U926" s="58"/>
      <c r="V926" s="24"/>
      <c r="W926" s="24"/>
      <c r="X926" s="58"/>
      <c r="Y926" s="24"/>
      <c r="Z926" s="24"/>
      <c r="AA926" s="58"/>
      <c r="AB926" s="24"/>
      <c r="AC926" s="24"/>
      <c r="AD926" s="58"/>
      <c r="AE926" s="24"/>
      <c r="AF926" s="24"/>
      <c r="AG926" s="58"/>
      <c r="AH926" s="24"/>
      <c r="AI926" s="24"/>
      <c r="AJ926" s="58"/>
      <c r="AK926" s="24"/>
      <c r="AL926" s="24"/>
      <c r="AM926" s="58"/>
      <c r="AN926" s="24"/>
      <c r="AO926" s="24"/>
      <c r="AP926" s="58"/>
      <c r="AQ926" s="24"/>
      <c r="AR926" s="24"/>
      <c r="AS926" s="58"/>
      <c r="AT926" s="24"/>
      <c r="AU926" s="24"/>
      <c r="AV926" s="58"/>
      <c r="AW926" s="24"/>
      <c r="AX926" s="24"/>
      <c r="AY926" s="58"/>
      <c r="AZ926" s="24"/>
      <c r="BA926" s="24"/>
      <c r="BB926" s="58"/>
      <c r="BC926" s="24"/>
      <c r="BD926" s="24"/>
      <c r="BE926" s="58"/>
      <c r="BF926" s="24"/>
      <c r="BG926" s="24"/>
      <c r="BH926" s="58"/>
      <c r="BI926" s="24"/>
      <c r="BJ926" s="24"/>
      <c r="BK926" s="58"/>
      <c r="BL926" s="24"/>
      <c r="BM926" s="24"/>
      <c r="BN926" s="58"/>
      <c r="BO926" s="24"/>
      <c r="BP926" s="24"/>
      <c r="BQ926" s="58"/>
      <c r="BR926" s="24"/>
      <c r="BS926" s="24"/>
      <c r="BT926" s="58"/>
      <c r="BU926" s="24"/>
      <c r="BV926" s="24"/>
      <c r="BW926" s="58"/>
      <c r="BX926" s="24"/>
      <c r="BY926" s="24"/>
      <c r="BZ926" s="58"/>
      <c r="CA926" s="24"/>
      <c r="CB926" s="24"/>
      <c r="CC926" s="58"/>
      <c r="CD926" s="24"/>
      <c r="CE926" s="24"/>
      <c r="CF926" s="58"/>
      <c r="CG926" s="24"/>
      <c r="CH926" s="24"/>
      <c r="CI926" s="58"/>
      <c r="CJ926" s="24"/>
      <c r="CK926" s="24"/>
      <c r="CL926" s="58"/>
      <c r="CM926" s="24"/>
      <c r="CN926" s="24"/>
      <c r="CO926" s="58"/>
      <c r="CP926" s="24"/>
      <c r="CQ926" s="24"/>
      <c r="CR926" s="58"/>
      <c r="CS926" s="24"/>
      <c r="CT926" s="24"/>
      <c r="CU926" s="58"/>
    </row>
    <row r="927">
      <c r="A927" s="24"/>
      <c r="B927" s="24"/>
      <c r="C927" s="24"/>
      <c r="D927" s="24"/>
      <c r="E927" s="24"/>
      <c r="F927" s="58"/>
      <c r="G927" s="24"/>
      <c r="H927" s="24"/>
      <c r="I927" s="58"/>
      <c r="J927" s="24"/>
      <c r="K927" s="24"/>
      <c r="L927" s="58"/>
      <c r="M927" s="24"/>
      <c r="N927" s="24"/>
      <c r="O927" s="58"/>
      <c r="P927" s="24"/>
      <c r="Q927" s="24"/>
      <c r="R927" s="58"/>
      <c r="S927" s="24"/>
      <c r="T927" s="24"/>
      <c r="U927" s="58"/>
      <c r="V927" s="24"/>
      <c r="W927" s="24"/>
      <c r="X927" s="58"/>
      <c r="Y927" s="24"/>
      <c r="Z927" s="24"/>
      <c r="AA927" s="58"/>
      <c r="AB927" s="24"/>
      <c r="AC927" s="24"/>
      <c r="AD927" s="58"/>
      <c r="AE927" s="24"/>
      <c r="AF927" s="24"/>
      <c r="AG927" s="58"/>
      <c r="AH927" s="24"/>
      <c r="AI927" s="24"/>
      <c r="AJ927" s="58"/>
      <c r="AK927" s="24"/>
      <c r="AL927" s="24"/>
      <c r="AM927" s="58"/>
      <c r="AN927" s="24"/>
      <c r="AO927" s="24"/>
      <c r="AP927" s="58"/>
      <c r="AQ927" s="24"/>
      <c r="AR927" s="24"/>
      <c r="AS927" s="58"/>
      <c r="AT927" s="24"/>
      <c r="AU927" s="24"/>
      <c r="AV927" s="58"/>
      <c r="AW927" s="24"/>
      <c r="AX927" s="24"/>
      <c r="AY927" s="58"/>
      <c r="AZ927" s="24"/>
      <c r="BA927" s="24"/>
      <c r="BB927" s="58"/>
      <c r="BC927" s="24"/>
      <c r="BD927" s="24"/>
      <c r="BE927" s="58"/>
      <c r="BF927" s="24"/>
      <c r="BG927" s="24"/>
      <c r="BH927" s="58"/>
      <c r="BI927" s="24"/>
      <c r="BJ927" s="24"/>
      <c r="BK927" s="58"/>
      <c r="BL927" s="24"/>
      <c r="BM927" s="24"/>
      <c r="BN927" s="58"/>
      <c r="BO927" s="24"/>
      <c r="BP927" s="24"/>
      <c r="BQ927" s="58"/>
      <c r="BR927" s="24"/>
      <c r="BS927" s="24"/>
      <c r="BT927" s="58"/>
      <c r="BU927" s="24"/>
      <c r="BV927" s="24"/>
      <c r="BW927" s="58"/>
      <c r="BX927" s="24"/>
      <c r="BY927" s="24"/>
      <c r="BZ927" s="58"/>
      <c r="CA927" s="24"/>
      <c r="CB927" s="24"/>
      <c r="CC927" s="58"/>
      <c r="CD927" s="24"/>
      <c r="CE927" s="24"/>
      <c r="CF927" s="58"/>
      <c r="CG927" s="24"/>
      <c r="CH927" s="24"/>
      <c r="CI927" s="58"/>
      <c r="CJ927" s="24"/>
      <c r="CK927" s="24"/>
      <c r="CL927" s="58"/>
      <c r="CM927" s="24"/>
      <c r="CN927" s="24"/>
      <c r="CO927" s="58"/>
      <c r="CP927" s="24"/>
      <c r="CQ927" s="24"/>
      <c r="CR927" s="58"/>
      <c r="CS927" s="24"/>
      <c r="CT927" s="24"/>
      <c r="CU927" s="58"/>
    </row>
    <row r="928">
      <c r="A928" s="24"/>
      <c r="B928" s="24"/>
      <c r="C928" s="24"/>
      <c r="D928" s="24"/>
      <c r="E928" s="24"/>
      <c r="F928" s="58"/>
      <c r="G928" s="24"/>
      <c r="H928" s="24"/>
      <c r="I928" s="58"/>
      <c r="J928" s="24"/>
      <c r="K928" s="24"/>
      <c r="L928" s="58"/>
      <c r="M928" s="24"/>
      <c r="N928" s="24"/>
      <c r="O928" s="58"/>
      <c r="P928" s="24"/>
      <c r="Q928" s="24"/>
      <c r="R928" s="58"/>
      <c r="S928" s="24"/>
      <c r="T928" s="24"/>
      <c r="U928" s="58"/>
      <c r="V928" s="24"/>
      <c r="W928" s="24"/>
      <c r="X928" s="58"/>
      <c r="Y928" s="24"/>
      <c r="Z928" s="24"/>
      <c r="AA928" s="58"/>
      <c r="AB928" s="24"/>
      <c r="AC928" s="24"/>
      <c r="AD928" s="58"/>
      <c r="AE928" s="24"/>
      <c r="AF928" s="24"/>
      <c r="AG928" s="58"/>
      <c r="AH928" s="24"/>
      <c r="AI928" s="24"/>
      <c r="AJ928" s="58"/>
      <c r="AK928" s="24"/>
      <c r="AL928" s="24"/>
      <c r="AM928" s="58"/>
      <c r="AN928" s="24"/>
      <c r="AO928" s="24"/>
      <c r="AP928" s="58"/>
      <c r="AQ928" s="24"/>
      <c r="AR928" s="24"/>
      <c r="AS928" s="58"/>
      <c r="AT928" s="24"/>
      <c r="AU928" s="24"/>
      <c r="AV928" s="58"/>
      <c r="AW928" s="24"/>
      <c r="AX928" s="24"/>
      <c r="AY928" s="58"/>
      <c r="AZ928" s="24"/>
      <c r="BA928" s="24"/>
      <c r="BB928" s="58"/>
      <c r="BC928" s="24"/>
      <c r="BD928" s="24"/>
      <c r="BE928" s="58"/>
      <c r="BF928" s="24"/>
      <c r="BG928" s="24"/>
      <c r="BH928" s="58"/>
      <c r="BI928" s="24"/>
      <c r="BJ928" s="24"/>
      <c r="BK928" s="58"/>
      <c r="BL928" s="24"/>
      <c r="BM928" s="24"/>
      <c r="BN928" s="58"/>
      <c r="BO928" s="24"/>
      <c r="BP928" s="24"/>
      <c r="BQ928" s="58"/>
      <c r="BR928" s="24"/>
      <c r="BS928" s="24"/>
      <c r="BT928" s="58"/>
      <c r="BU928" s="24"/>
      <c r="BV928" s="24"/>
      <c r="BW928" s="58"/>
      <c r="BX928" s="24"/>
      <c r="BY928" s="24"/>
      <c r="BZ928" s="58"/>
      <c r="CA928" s="24"/>
      <c r="CB928" s="24"/>
      <c r="CC928" s="58"/>
      <c r="CD928" s="24"/>
      <c r="CE928" s="24"/>
      <c r="CF928" s="58"/>
      <c r="CG928" s="24"/>
      <c r="CH928" s="24"/>
      <c r="CI928" s="58"/>
      <c r="CJ928" s="24"/>
      <c r="CK928" s="24"/>
      <c r="CL928" s="58"/>
      <c r="CM928" s="24"/>
      <c r="CN928" s="24"/>
      <c r="CO928" s="58"/>
      <c r="CP928" s="24"/>
      <c r="CQ928" s="24"/>
      <c r="CR928" s="58"/>
      <c r="CS928" s="24"/>
      <c r="CT928" s="24"/>
      <c r="CU928" s="58"/>
    </row>
    <row r="929">
      <c r="A929" s="24"/>
      <c r="B929" s="24"/>
      <c r="C929" s="24"/>
      <c r="D929" s="24"/>
      <c r="E929" s="24"/>
      <c r="F929" s="58"/>
      <c r="G929" s="24"/>
      <c r="H929" s="24"/>
      <c r="I929" s="58"/>
      <c r="J929" s="24"/>
      <c r="K929" s="24"/>
      <c r="L929" s="58"/>
      <c r="M929" s="24"/>
      <c r="N929" s="24"/>
      <c r="O929" s="58"/>
      <c r="P929" s="24"/>
      <c r="Q929" s="24"/>
      <c r="R929" s="58"/>
      <c r="S929" s="24"/>
      <c r="T929" s="24"/>
      <c r="U929" s="58"/>
      <c r="V929" s="24"/>
      <c r="W929" s="24"/>
      <c r="X929" s="58"/>
      <c r="Y929" s="24"/>
      <c r="Z929" s="24"/>
      <c r="AA929" s="58"/>
      <c r="AB929" s="24"/>
      <c r="AC929" s="24"/>
      <c r="AD929" s="58"/>
      <c r="AE929" s="24"/>
      <c r="AF929" s="24"/>
      <c r="AG929" s="58"/>
      <c r="AH929" s="24"/>
      <c r="AI929" s="24"/>
      <c r="AJ929" s="58"/>
      <c r="AK929" s="24"/>
      <c r="AL929" s="24"/>
      <c r="AM929" s="58"/>
      <c r="AN929" s="24"/>
      <c r="AO929" s="24"/>
      <c r="AP929" s="58"/>
      <c r="AQ929" s="24"/>
      <c r="AR929" s="24"/>
      <c r="AS929" s="58"/>
      <c r="AT929" s="24"/>
      <c r="AU929" s="24"/>
      <c r="AV929" s="58"/>
      <c r="AW929" s="24"/>
      <c r="AX929" s="24"/>
      <c r="AY929" s="58"/>
      <c r="AZ929" s="24"/>
      <c r="BA929" s="24"/>
      <c r="BB929" s="58"/>
      <c r="BC929" s="24"/>
      <c r="BD929" s="24"/>
      <c r="BE929" s="58"/>
      <c r="BF929" s="24"/>
      <c r="BG929" s="24"/>
      <c r="BH929" s="58"/>
      <c r="BI929" s="24"/>
      <c r="BJ929" s="24"/>
      <c r="BK929" s="58"/>
      <c r="BL929" s="24"/>
      <c r="BM929" s="24"/>
      <c r="BN929" s="58"/>
      <c r="BO929" s="24"/>
      <c r="BP929" s="24"/>
      <c r="BQ929" s="58"/>
      <c r="BR929" s="24"/>
      <c r="BS929" s="24"/>
      <c r="BT929" s="58"/>
      <c r="BU929" s="24"/>
      <c r="BV929" s="24"/>
      <c r="BW929" s="58"/>
      <c r="BX929" s="24"/>
      <c r="BY929" s="24"/>
      <c r="BZ929" s="58"/>
      <c r="CA929" s="24"/>
      <c r="CB929" s="24"/>
      <c r="CC929" s="58"/>
      <c r="CD929" s="24"/>
      <c r="CE929" s="24"/>
      <c r="CF929" s="58"/>
      <c r="CG929" s="24"/>
      <c r="CH929" s="24"/>
      <c r="CI929" s="58"/>
      <c r="CJ929" s="24"/>
      <c r="CK929" s="24"/>
      <c r="CL929" s="58"/>
      <c r="CM929" s="24"/>
      <c r="CN929" s="24"/>
      <c r="CO929" s="58"/>
      <c r="CP929" s="24"/>
      <c r="CQ929" s="24"/>
      <c r="CR929" s="58"/>
      <c r="CS929" s="24"/>
      <c r="CT929" s="24"/>
      <c r="CU929" s="58"/>
    </row>
    <row r="930">
      <c r="A930" s="24"/>
      <c r="B930" s="24"/>
      <c r="C930" s="24"/>
      <c r="D930" s="24"/>
      <c r="E930" s="24"/>
      <c r="F930" s="58"/>
      <c r="G930" s="24"/>
      <c r="H930" s="24"/>
      <c r="I930" s="58"/>
      <c r="J930" s="24"/>
      <c r="K930" s="24"/>
      <c r="L930" s="58"/>
      <c r="M930" s="24"/>
      <c r="N930" s="24"/>
      <c r="O930" s="58"/>
      <c r="P930" s="24"/>
      <c r="Q930" s="24"/>
      <c r="R930" s="58"/>
      <c r="S930" s="24"/>
      <c r="T930" s="24"/>
      <c r="U930" s="58"/>
      <c r="V930" s="24"/>
      <c r="W930" s="24"/>
      <c r="X930" s="58"/>
      <c r="Y930" s="24"/>
      <c r="Z930" s="24"/>
      <c r="AA930" s="58"/>
      <c r="AB930" s="24"/>
      <c r="AC930" s="24"/>
      <c r="AD930" s="58"/>
      <c r="AE930" s="24"/>
      <c r="AF930" s="24"/>
      <c r="AG930" s="58"/>
      <c r="AH930" s="24"/>
      <c r="AI930" s="24"/>
      <c r="AJ930" s="58"/>
      <c r="AK930" s="24"/>
      <c r="AL930" s="24"/>
      <c r="AM930" s="58"/>
      <c r="AN930" s="24"/>
      <c r="AO930" s="24"/>
      <c r="AP930" s="58"/>
      <c r="AQ930" s="24"/>
      <c r="AR930" s="24"/>
      <c r="AS930" s="58"/>
      <c r="AT930" s="24"/>
      <c r="AU930" s="24"/>
      <c r="AV930" s="58"/>
      <c r="AW930" s="24"/>
      <c r="AX930" s="24"/>
      <c r="AY930" s="58"/>
      <c r="AZ930" s="24"/>
      <c r="BA930" s="24"/>
      <c r="BB930" s="58"/>
      <c r="BC930" s="24"/>
      <c r="BD930" s="24"/>
      <c r="BE930" s="58"/>
      <c r="BF930" s="24"/>
      <c r="BG930" s="24"/>
      <c r="BH930" s="58"/>
      <c r="BI930" s="24"/>
      <c r="BJ930" s="24"/>
      <c r="BK930" s="58"/>
      <c r="BL930" s="24"/>
      <c r="BM930" s="24"/>
      <c r="BN930" s="58"/>
      <c r="BO930" s="24"/>
      <c r="BP930" s="24"/>
      <c r="BQ930" s="58"/>
      <c r="BR930" s="24"/>
      <c r="BS930" s="24"/>
      <c r="BT930" s="58"/>
      <c r="BU930" s="24"/>
      <c r="BV930" s="24"/>
      <c r="BW930" s="58"/>
      <c r="BX930" s="24"/>
      <c r="BY930" s="24"/>
      <c r="BZ930" s="58"/>
      <c r="CA930" s="24"/>
      <c r="CB930" s="24"/>
      <c r="CC930" s="58"/>
      <c r="CD930" s="24"/>
      <c r="CE930" s="24"/>
      <c r="CF930" s="58"/>
      <c r="CG930" s="24"/>
      <c r="CH930" s="24"/>
      <c r="CI930" s="58"/>
      <c r="CJ930" s="24"/>
      <c r="CK930" s="24"/>
      <c r="CL930" s="58"/>
      <c r="CM930" s="24"/>
      <c r="CN930" s="24"/>
      <c r="CO930" s="58"/>
      <c r="CP930" s="24"/>
      <c r="CQ930" s="24"/>
      <c r="CR930" s="58"/>
      <c r="CS930" s="24"/>
      <c r="CT930" s="24"/>
      <c r="CU930" s="58"/>
    </row>
    <row r="931">
      <c r="A931" s="24"/>
      <c r="B931" s="24"/>
      <c r="C931" s="24"/>
      <c r="D931" s="24"/>
      <c r="E931" s="24"/>
      <c r="F931" s="58"/>
      <c r="G931" s="24"/>
      <c r="H931" s="24"/>
      <c r="I931" s="58"/>
      <c r="J931" s="24"/>
      <c r="K931" s="24"/>
      <c r="L931" s="58"/>
      <c r="M931" s="24"/>
      <c r="N931" s="24"/>
      <c r="O931" s="58"/>
      <c r="P931" s="24"/>
      <c r="Q931" s="24"/>
      <c r="R931" s="58"/>
      <c r="S931" s="24"/>
      <c r="T931" s="24"/>
      <c r="U931" s="58"/>
      <c r="V931" s="24"/>
      <c r="W931" s="24"/>
      <c r="X931" s="58"/>
      <c r="Y931" s="24"/>
      <c r="Z931" s="24"/>
      <c r="AA931" s="58"/>
      <c r="AB931" s="24"/>
      <c r="AC931" s="24"/>
      <c r="AD931" s="58"/>
      <c r="AE931" s="24"/>
      <c r="AF931" s="24"/>
      <c r="AG931" s="58"/>
      <c r="AH931" s="24"/>
      <c r="AI931" s="24"/>
      <c r="AJ931" s="58"/>
      <c r="AK931" s="24"/>
      <c r="AL931" s="24"/>
      <c r="AM931" s="58"/>
      <c r="AN931" s="24"/>
      <c r="AO931" s="24"/>
      <c r="AP931" s="58"/>
      <c r="AQ931" s="24"/>
      <c r="AR931" s="24"/>
      <c r="AS931" s="58"/>
      <c r="AT931" s="24"/>
      <c r="AU931" s="24"/>
      <c r="AV931" s="58"/>
      <c r="AW931" s="24"/>
      <c r="AX931" s="24"/>
      <c r="AY931" s="58"/>
      <c r="AZ931" s="24"/>
      <c r="BA931" s="24"/>
      <c r="BB931" s="58"/>
      <c r="BC931" s="24"/>
      <c r="BD931" s="24"/>
      <c r="BE931" s="58"/>
      <c r="BF931" s="24"/>
      <c r="BG931" s="24"/>
      <c r="BH931" s="58"/>
      <c r="BI931" s="24"/>
      <c r="BJ931" s="24"/>
      <c r="BK931" s="58"/>
      <c r="BL931" s="24"/>
      <c r="BM931" s="24"/>
      <c r="BN931" s="58"/>
      <c r="BO931" s="24"/>
      <c r="BP931" s="24"/>
      <c r="BQ931" s="58"/>
      <c r="BR931" s="24"/>
      <c r="BS931" s="24"/>
      <c r="BT931" s="58"/>
      <c r="BU931" s="24"/>
      <c r="BV931" s="24"/>
      <c r="BW931" s="58"/>
      <c r="BX931" s="24"/>
      <c r="BY931" s="24"/>
      <c r="BZ931" s="58"/>
      <c r="CA931" s="24"/>
      <c r="CB931" s="24"/>
      <c r="CC931" s="58"/>
      <c r="CD931" s="24"/>
      <c r="CE931" s="24"/>
      <c r="CF931" s="58"/>
      <c r="CG931" s="24"/>
      <c r="CH931" s="24"/>
      <c r="CI931" s="58"/>
      <c r="CJ931" s="24"/>
      <c r="CK931" s="24"/>
      <c r="CL931" s="58"/>
      <c r="CM931" s="24"/>
      <c r="CN931" s="24"/>
      <c r="CO931" s="58"/>
      <c r="CP931" s="24"/>
      <c r="CQ931" s="24"/>
      <c r="CR931" s="58"/>
      <c r="CS931" s="24"/>
      <c r="CT931" s="24"/>
      <c r="CU931" s="58"/>
    </row>
    <row r="932">
      <c r="A932" s="24"/>
      <c r="B932" s="24"/>
      <c r="C932" s="24"/>
      <c r="D932" s="24"/>
      <c r="E932" s="24"/>
      <c r="F932" s="58"/>
      <c r="G932" s="24"/>
      <c r="H932" s="24"/>
      <c r="I932" s="58"/>
      <c r="J932" s="24"/>
      <c r="K932" s="24"/>
      <c r="L932" s="58"/>
      <c r="M932" s="24"/>
      <c r="N932" s="24"/>
      <c r="O932" s="58"/>
      <c r="P932" s="24"/>
      <c r="Q932" s="24"/>
      <c r="R932" s="58"/>
      <c r="S932" s="24"/>
      <c r="T932" s="24"/>
      <c r="U932" s="58"/>
      <c r="V932" s="24"/>
      <c r="W932" s="24"/>
      <c r="X932" s="58"/>
      <c r="Y932" s="24"/>
      <c r="Z932" s="24"/>
      <c r="AA932" s="58"/>
      <c r="AB932" s="24"/>
      <c r="AC932" s="24"/>
      <c r="AD932" s="58"/>
      <c r="AE932" s="24"/>
      <c r="AF932" s="24"/>
      <c r="AG932" s="58"/>
      <c r="AH932" s="24"/>
      <c r="AI932" s="24"/>
      <c r="AJ932" s="58"/>
      <c r="AK932" s="24"/>
      <c r="AL932" s="24"/>
      <c r="AM932" s="58"/>
      <c r="AN932" s="24"/>
      <c r="AO932" s="24"/>
      <c r="AP932" s="58"/>
      <c r="AQ932" s="24"/>
      <c r="AR932" s="24"/>
      <c r="AS932" s="58"/>
      <c r="AT932" s="24"/>
      <c r="AU932" s="24"/>
      <c r="AV932" s="58"/>
      <c r="AW932" s="24"/>
      <c r="AX932" s="24"/>
      <c r="AY932" s="58"/>
      <c r="AZ932" s="24"/>
      <c r="BA932" s="24"/>
      <c r="BB932" s="58"/>
      <c r="BC932" s="24"/>
      <c r="BD932" s="24"/>
      <c r="BE932" s="58"/>
      <c r="BF932" s="24"/>
      <c r="BG932" s="24"/>
      <c r="BH932" s="58"/>
      <c r="BI932" s="24"/>
      <c r="BJ932" s="24"/>
      <c r="BK932" s="58"/>
      <c r="BL932" s="24"/>
      <c r="BM932" s="24"/>
      <c r="BN932" s="58"/>
      <c r="BO932" s="24"/>
      <c r="BP932" s="24"/>
      <c r="BQ932" s="58"/>
      <c r="BR932" s="24"/>
      <c r="BS932" s="24"/>
      <c r="BT932" s="58"/>
      <c r="BU932" s="24"/>
      <c r="BV932" s="24"/>
      <c r="BW932" s="58"/>
      <c r="BX932" s="24"/>
      <c r="BY932" s="24"/>
      <c r="BZ932" s="58"/>
      <c r="CA932" s="24"/>
      <c r="CB932" s="24"/>
      <c r="CC932" s="58"/>
      <c r="CD932" s="24"/>
      <c r="CE932" s="24"/>
      <c r="CF932" s="58"/>
      <c r="CG932" s="24"/>
      <c r="CH932" s="24"/>
      <c r="CI932" s="58"/>
      <c r="CJ932" s="24"/>
      <c r="CK932" s="24"/>
      <c r="CL932" s="58"/>
      <c r="CM932" s="24"/>
      <c r="CN932" s="24"/>
      <c r="CO932" s="58"/>
      <c r="CP932" s="24"/>
      <c r="CQ932" s="24"/>
      <c r="CR932" s="58"/>
      <c r="CS932" s="24"/>
      <c r="CT932" s="24"/>
      <c r="CU932" s="58"/>
    </row>
    <row r="933">
      <c r="A933" s="24"/>
      <c r="B933" s="24"/>
      <c r="C933" s="24"/>
      <c r="D933" s="24"/>
      <c r="E933" s="24"/>
      <c r="F933" s="58"/>
      <c r="G933" s="24"/>
      <c r="H933" s="24"/>
      <c r="I933" s="58"/>
      <c r="J933" s="24"/>
      <c r="K933" s="24"/>
      <c r="L933" s="58"/>
      <c r="M933" s="24"/>
      <c r="N933" s="24"/>
      <c r="O933" s="58"/>
      <c r="P933" s="24"/>
      <c r="Q933" s="24"/>
      <c r="R933" s="58"/>
      <c r="S933" s="24"/>
      <c r="T933" s="24"/>
      <c r="U933" s="58"/>
      <c r="V933" s="24"/>
      <c r="W933" s="24"/>
      <c r="X933" s="58"/>
      <c r="Y933" s="24"/>
      <c r="Z933" s="24"/>
      <c r="AA933" s="58"/>
      <c r="AB933" s="24"/>
      <c r="AC933" s="24"/>
      <c r="AD933" s="58"/>
      <c r="AE933" s="24"/>
      <c r="AF933" s="24"/>
      <c r="AG933" s="58"/>
      <c r="AH933" s="24"/>
      <c r="AI933" s="24"/>
      <c r="AJ933" s="58"/>
      <c r="AK933" s="24"/>
      <c r="AL933" s="24"/>
      <c r="AM933" s="58"/>
      <c r="AN933" s="24"/>
      <c r="AO933" s="24"/>
      <c r="AP933" s="58"/>
      <c r="AQ933" s="24"/>
      <c r="AR933" s="24"/>
      <c r="AS933" s="58"/>
      <c r="AT933" s="24"/>
      <c r="AU933" s="24"/>
      <c r="AV933" s="58"/>
      <c r="AW933" s="24"/>
      <c r="AX933" s="24"/>
      <c r="AY933" s="58"/>
      <c r="AZ933" s="24"/>
      <c r="BA933" s="24"/>
      <c r="BB933" s="58"/>
      <c r="BC933" s="24"/>
      <c r="BD933" s="24"/>
      <c r="BE933" s="58"/>
      <c r="BF933" s="24"/>
      <c r="BG933" s="24"/>
      <c r="BH933" s="58"/>
      <c r="BI933" s="24"/>
      <c r="BJ933" s="24"/>
      <c r="BK933" s="58"/>
      <c r="BL933" s="24"/>
      <c r="BM933" s="24"/>
      <c r="BN933" s="58"/>
      <c r="BO933" s="24"/>
      <c r="BP933" s="24"/>
      <c r="BQ933" s="58"/>
      <c r="BR933" s="24"/>
      <c r="BS933" s="24"/>
      <c r="BT933" s="58"/>
      <c r="BU933" s="24"/>
      <c r="BV933" s="24"/>
      <c r="BW933" s="58"/>
      <c r="BX933" s="24"/>
      <c r="BY933" s="24"/>
      <c r="BZ933" s="58"/>
      <c r="CA933" s="24"/>
      <c r="CB933" s="24"/>
      <c r="CC933" s="58"/>
      <c r="CD933" s="24"/>
      <c r="CE933" s="24"/>
      <c r="CF933" s="58"/>
      <c r="CG933" s="24"/>
      <c r="CH933" s="24"/>
      <c r="CI933" s="58"/>
      <c r="CJ933" s="24"/>
      <c r="CK933" s="24"/>
      <c r="CL933" s="58"/>
      <c r="CM933" s="24"/>
      <c r="CN933" s="24"/>
      <c r="CO933" s="58"/>
      <c r="CP933" s="24"/>
      <c r="CQ933" s="24"/>
      <c r="CR933" s="58"/>
      <c r="CS933" s="24"/>
      <c r="CT933" s="24"/>
      <c r="CU933" s="58"/>
    </row>
    <row r="934">
      <c r="A934" s="24"/>
      <c r="B934" s="24"/>
      <c r="C934" s="24"/>
      <c r="D934" s="24"/>
      <c r="E934" s="24"/>
      <c r="F934" s="58"/>
      <c r="G934" s="24"/>
      <c r="H934" s="24"/>
      <c r="I934" s="58"/>
      <c r="J934" s="24"/>
      <c r="K934" s="24"/>
      <c r="L934" s="58"/>
      <c r="M934" s="24"/>
      <c r="N934" s="24"/>
      <c r="O934" s="58"/>
      <c r="P934" s="24"/>
      <c r="Q934" s="24"/>
      <c r="R934" s="58"/>
      <c r="S934" s="24"/>
      <c r="T934" s="24"/>
      <c r="U934" s="58"/>
      <c r="V934" s="24"/>
      <c r="W934" s="24"/>
      <c r="X934" s="58"/>
      <c r="Y934" s="24"/>
      <c r="Z934" s="24"/>
      <c r="AA934" s="58"/>
      <c r="AB934" s="24"/>
      <c r="AC934" s="24"/>
      <c r="AD934" s="58"/>
      <c r="AE934" s="24"/>
      <c r="AF934" s="24"/>
      <c r="AG934" s="58"/>
      <c r="AH934" s="24"/>
      <c r="AI934" s="24"/>
      <c r="AJ934" s="58"/>
      <c r="AK934" s="24"/>
      <c r="AL934" s="24"/>
      <c r="AM934" s="58"/>
      <c r="AN934" s="24"/>
      <c r="AO934" s="24"/>
      <c r="AP934" s="58"/>
      <c r="AQ934" s="24"/>
      <c r="AR934" s="24"/>
      <c r="AS934" s="58"/>
      <c r="AT934" s="24"/>
      <c r="AU934" s="24"/>
      <c r="AV934" s="58"/>
      <c r="AW934" s="24"/>
      <c r="AX934" s="24"/>
      <c r="AY934" s="58"/>
      <c r="AZ934" s="24"/>
      <c r="BA934" s="24"/>
      <c r="BB934" s="58"/>
      <c r="BC934" s="24"/>
      <c r="BD934" s="24"/>
      <c r="BE934" s="58"/>
      <c r="BF934" s="24"/>
      <c r="BG934" s="24"/>
      <c r="BH934" s="58"/>
      <c r="BI934" s="24"/>
      <c r="BJ934" s="24"/>
      <c r="BK934" s="58"/>
      <c r="BL934" s="24"/>
      <c r="BM934" s="24"/>
      <c r="BN934" s="58"/>
      <c r="BO934" s="24"/>
      <c r="BP934" s="24"/>
      <c r="BQ934" s="58"/>
      <c r="BR934" s="24"/>
      <c r="BS934" s="24"/>
      <c r="BT934" s="58"/>
      <c r="BU934" s="24"/>
      <c r="BV934" s="24"/>
      <c r="BW934" s="58"/>
      <c r="BX934" s="24"/>
      <c r="BY934" s="24"/>
      <c r="BZ934" s="58"/>
      <c r="CA934" s="24"/>
      <c r="CB934" s="24"/>
      <c r="CC934" s="58"/>
      <c r="CD934" s="24"/>
      <c r="CE934" s="24"/>
      <c r="CF934" s="58"/>
      <c r="CG934" s="24"/>
      <c r="CH934" s="24"/>
      <c r="CI934" s="58"/>
      <c r="CJ934" s="24"/>
      <c r="CK934" s="24"/>
      <c r="CL934" s="58"/>
      <c r="CM934" s="24"/>
      <c r="CN934" s="24"/>
      <c r="CO934" s="58"/>
      <c r="CP934" s="24"/>
      <c r="CQ934" s="24"/>
      <c r="CR934" s="58"/>
      <c r="CS934" s="24"/>
      <c r="CT934" s="24"/>
      <c r="CU934" s="58"/>
    </row>
    <row r="935">
      <c r="A935" s="24"/>
      <c r="B935" s="24"/>
      <c r="C935" s="24"/>
      <c r="D935" s="24"/>
      <c r="E935" s="24"/>
      <c r="F935" s="58"/>
      <c r="G935" s="24"/>
      <c r="H935" s="24"/>
      <c r="I935" s="58"/>
      <c r="J935" s="24"/>
      <c r="K935" s="24"/>
      <c r="L935" s="58"/>
      <c r="M935" s="24"/>
      <c r="N935" s="24"/>
      <c r="O935" s="58"/>
      <c r="P935" s="24"/>
      <c r="Q935" s="24"/>
      <c r="R935" s="58"/>
      <c r="S935" s="24"/>
      <c r="T935" s="24"/>
      <c r="U935" s="58"/>
      <c r="V935" s="24"/>
      <c r="W935" s="24"/>
      <c r="X935" s="58"/>
      <c r="Y935" s="24"/>
      <c r="Z935" s="24"/>
      <c r="AA935" s="58"/>
      <c r="AB935" s="24"/>
      <c r="AC935" s="24"/>
      <c r="AD935" s="58"/>
      <c r="AE935" s="24"/>
      <c r="AF935" s="24"/>
      <c r="AG935" s="58"/>
      <c r="AH935" s="24"/>
      <c r="AI935" s="24"/>
      <c r="AJ935" s="58"/>
      <c r="AK935" s="24"/>
      <c r="AL935" s="24"/>
      <c r="AM935" s="58"/>
      <c r="AN935" s="24"/>
      <c r="AO935" s="24"/>
      <c r="AP935" s="58"/>
      <c r="AQ935" s="24"/>
      <c r="AR935" s="24"/>
      <c r="AS935" s="58"/>
      <c r="AT935" s="24"/>
      <c r="AU935" s="24"/>
      <c r="AV935" s="58"/>
      <c r="AW935" s="24"/>
      <c r="AX935" s="24"/>
      <c r="AY935" s="58"/>
      <c r="AZ935" s="24"/>
      <c r="BA935" s="24"/>
      <c r="BB935" s="58"/>
      <c r="BC935" s="24"/>
      <c r="BD935" s="24"/>
      <c r="BE935" s="58"/>
      <c r="BF935" s="24"/>
      <c r="BG935" s="24"/>
      <c r="BH935" s="58"/>
      <c r="BI935" s="24"/>
      <c r="BJ935" s="24"/>
      <c r="BK935" s="58"/>
      <c r="BL935" s="24"/>
      <c r="BM935" s="24"/>
      <c r="BN935" s="58"/>
      <c r="BO935" s="24"/>
      <c r="BP935" s="24"/>
      <c r="BQ935" s="58"/>
      <c r="BR935" s="24"/>
      <c r="BS935" s="24"/>
      <c r="BT935" s="58"/>
      <c r="BU935" s="24"/>
      <c r="BV935" s="24"/>
      <c r="BW935" s="58"/>
      <c r="BX935" s="24"/>
      <c r="BY935" s="24"/>
      <c r="BZ935" s="58"/>
      <c r="CA935" s="24"/>
      <c r="CB935" s="24"/>
      <c r="CC935" s="58"/>
      <c r="CD935" s="24"/>
      <c r="CE935" s="24"/>
      <c r="CF935" s="58"/>
      <c r="CG935" s="24"/>
      <c r="CH935" s="24"/>
      <c r="CI935" s="58"/>
      <c r="CJ935" s="24"/>
      <c r="CK935" s="24"/>
      <c r="CL935" s="58"/>
      <c r="CM935" s="24"/>
      <c r="CN935" s="24"/>
      <c r="CO935" s="58"/>
      <c r="CP935" s="24"/>
      <c r="CQ935" s="24"/>
      <c r="CR935" s="58"/>
      <c r="CS935" s="24"/>
      <c r="CT935" s="24"/>
      <c r="CU935" s="58"/>
    </row>
    <row r="936">
      <c r="A936" s="24"/>
      <c r="B936" s="24"/>
      <c r="C936" s="24"/>
      <c r="D936" s="24"/>
      <c r="E936" s="24"/>
      <c r="F936" s="58"/>
      <c r="G936" s="24"/>
      <c r="H936" s="24"/>
      <c r="I936" s="58"/>
      <c r="J936" s="24"/>
      <c r="K936" s="24"/>
      <c r="L936" s="58"/>
      <c r="M936" s="24"/>
      <c r="N936" s="24"/>
      <c r="O936" s="58"/>
      <c r="P936" s="24"/>
      <c r="Q936" s="24"/>
      <c r="R936" s="58"/>
      <c r="S936" s="24"/>
      <c r="T936" s="24"/>
      <c r="U936" s="58"/>
      <c r="V936" s="24"/>
      <c r="W936" s="24"/>
      <c r="X936" s="58"/>
      <c r="Y936" s="24"/>
      <c r="Z936" s="24"/>
      <c r="AA936" s="58"/>
      <c r="AB936" s="24"/>
      <c r="AC936" s="24"/>
      <c r="AD936" s="58"/>
      <c r="AE936" s="24"/>
      <c r="AF936" s="24"/>
      <c r="AG936" s="58"/>
      <c r="AH936" s="24"/>
      <c r="AI936" s="24"/>
      <c r="AJ936" s="58"/>
      <c r="AK936" s="24"/>
      <c r="AL936" s="24"/>
      <c r="AM936" s="58"/>
      <c r="AN936" s="24"/>
      <c r="AO936" s="24"/>
      <c r="AP936" s="58"/>
      <c r="AQ936" s="24"/>
      <c r="AR936" s="24"/>
      <c r="AS936" s="58"/>
      <c r="AT936" s="24"/>
      <c r="AU936" s="24"/>
      <c r="AV936" s="58"/>
      <c r="AW936" s="24"/>
      <c r="AX936" s="24"/>
      <c r="AY936" s="58"/>
      <c r="AZ936" s="24"/>
      <c r="BA936" s="24"/>
      <c r="BB936" s="58"/>
      <c r="BC936" s="24"/>
      <c r="BD936" s="24"/>
      <c r="BE936" s="58"/>
      <c r="BF936" s="24"/>
      <c r="BG936" s="24"/>
      <c r="BH936" s="58"/>
      <c r="BI936" s="24"/>
      <c r="BJ936" s="24"/>
      <c r="BK936" s="58"/>
      <c r="BL936" s="24"/>
      <c r="BM936" s="24"/>
      <c r="BN936" s="58"/>
      <c r="BO936" s="24"/>
      <c r="BP936" s="24"/>
      <c r="BQ936" s="58"/>
      <c r="BR936" s="24"/>
      <c r="BS936" s="24"/>
      <c r="BT936" s="58"/>
      <c r="BU936" s="24"/>
      <c r="BV936" s="24"/>
      <c r="BW936" s="58"/>
      <c r="BX936" s="24"/>
      <c r="BY936" s="24"/>
      <c r="BZ936" s="58"/>
      <c r="CA936" s="24"/>
      <c r="CB936" s="24"/>
      <c r="CC936" s="58"/>
      <c r="CD936" s="24"/>
      <c r="CE936" s="24"/>
      <c r="CF936" s="58"/>
      <c r="CG936" s="24"/>
      <c r="CH936" s="24"/>
      <c r="CI936" s="58"/>
      <c r="CJ936" s="24"/>
      <c r="CK936" s="24"/>
      <c r="CL936" s="58"/>
      <c r="CM936" s="24"/>
      <c r="CN936" s="24"/>
      <c r="CO936" s="58"/>
      <c r="CP936" s="24"/>
      <c r="CQ936" s="24"/>
      <c r="CR936" s="58"/>
      <c r="CS936" s="24"/>
      <c r="CT936" s="24"/>
      <c r="CU936" s="58"/>
    </row>
    <row r="937">
      <c r="A937" s="24"/>
      <c r="B937" s="24"/>
      <c r="C937" s="24"/>
      <c r="D937" s="24"/>
      <c r="E937" s="24"/>
      <c r="F937" s="58"/>
      <c r="G937" s="24"/>
      <c r="H937" s="24"/>
      <c r="I937" s="58"/>
      <c r="J937" s="24"/>
      <c r="K937" s="24"/>
      <c r="L937" s="58"/>
      <c r="M937" s="24"/>
      <c r="N937" s="24"/>
      <c r="O937" s="58"/>
      <c r="P937" s="24"/>
      <c r="Q937" s="24"/>
      <c r="R937" s="58"/>
      <c r="S937" s="24"/>
      <c r="T937" s="24"/>
      <c r="U937" s="58"/>
      <c r="V937" s="24"/>
      <c r="W937" s="24"/>
      <c r="X937" s="58"/>
      <c r="Y937" s="24"/>
      <c r="Z937" s="24"/>
      <c r="AA937" s="58"/>
      <c r="AB937" s="24"/>
      <c r="AC937" s="24"/>
      <c r="AD937" s="58"/>
      <c r="AE937" s="24"/>
      <c r="AF937" s="24"/>
      <c r="AG937" s="58"/>
      <c r="AH937" s="24"/>
      <c r="AI937" s="24"/>
      <c r="AJ937" s="58"/>
      <c r="AK937" s="24"/>
      <c r="AL937" s="24"/>
      <c r="AM937" s="58"/>
      <c r="AN937" s="24"/>
      <c r="AO937" s="24"/>
      <c r="AP937" s="58"/>
      <c r="AQ937" s="24"/>
      <c r="AR937" s="24"/>
      <c r="AS937" s="58"/>
      <c r="AT937" s="24"/>
      <c r="AU937" s="24"/>
      <c r="AV937" s="58"/>
      <c r="AW937" s="24"/>
      <c r="AX937" s="24"/>
      <c r="AY937" s="58"/>
      <c r="AZ937" s="24"/>
      <c r="BA937" s="24"/>
      <c r="BB937" s="58"/>
      <c r="BC937" s="24"/>
      <c r="BD937" s="24"/>
      <c r="BE937" s="58"/>
      <c r="BF937" s="24"/>
      <c r="BG937" s="24"/>
      <c r="BH937" s="58"/>
      <c r="BI937" s="24"/>
      <c r="BJ937" s="24"/>
      <c r="BK937" s="58"/>
      <c r="BL937" s="24"/>
      <c r="BM937" s="24"/>
      <c r="BN937" s="58"/>
      <c r="BO937" s="24"/>
      <c r="BP937" s="24"/>
      <c r="BQ937" s="58"/>
      <c r="BR937" s="24"/>
      <c r="BS937" s="24"/>
      <c r="BT937" s="58"/>
      <c r="BU937" s="24"/>
      <c r="BV937" s="24"/>
      <c r="BW937" s="58"/>
      <c r="BX937" s="24"/>
      <c r="BY937" s="24"/>
      <c r="BZ937" s="58"/>
      <c r="CA937" s="24"/>
      <c r="CB937" s="24"/>
      <c r="CC937" s="58"/>
      <c r="CD937" s="24"/>
      <c r="CE937" s="24"/>
      <c r="CF937" s="58"/>
      <c r="CG937" s="24"/>
      <c r="CH937" s="24"/>
      <c r="CI937" s="58"/>
      <c r="CJ937" s="24"/>
      <c r="CK937" s="24"/>
      <c r="CL937" s="58"/>
      <c r="CM937" s="24"/>
      <c r="CN937" s="24"/>
      <c r="CO937" s="58"/>
      <c r="CP937" s="24"/>
      <c r="CQ937" s="24"/>
      <c r="CR937" s="58"/>
      <c r="CS937" s="24"/>
      <c r="CT937" s="24"/>
      <c r="CU937" s="58"/>
    </row>
    <row r="938">
      <c r="A938" s="24"/>
      <c r="B938" s="24"/>
      <c r="C938" s="24"/>
      <c r="D938" s="24"/>
      <c r="E938" s="24"/>
      <c r="F938" s="58"/>
      <c r="G938" s="24"/>
      <c r="H938" s="24"/>
      <c r="I938" s="58"/>
      <c r="J938" s="24"/>
      <c r="K938" s="24"/>
      <c r="L938" s="58"/>
      <c r="M938" s="24"/>
      <c r="N938" s="24"/>
      <c r="O938" s="58"/>
      <c r="P938" s="24"/>
      <c r="Q938" s="24"/>
      <c r="R938" s="58"/>
      <c r="S938" s="24"/>
      <c r="T938" s="24"/>
      <c r="U938" s="58"/>
      <c r="V938" s="24"/>
      <c r="W938" s="24"/>
      <c r="X938" s="58"/>
      <c r="Y938" s="24"/>
      <c r="Z938" s="24"/>
      <c r="AA938" s="58"/>
      <c r="AB938" s="24"/>
      <c r="AC938" s="24"/>
      <c r="AD938" s="58"/>
      <c r="AE938" s="24"/>
      <c r="AF938" s="24"/>
      <c r="AG938" s="58"/>
      <c r="AH938" s="24"/>
      <c r="AI938" s="24"/>
      <c r="AJ938" s="58"/>
      <c r="AK938" s="24"/>
      <c r="AL938" s="24"/>
      <c r="AM938" s="58"/>
      <c r="AN938" s="24"/>
      <c r="AO938" s="24"/>
      <c r="AP938" s="58"/>
      <c r="AQ938" s="24"/>
      <c r="AR938" s="24"/>
      <c r="AS938" s="58"/>
      <c r="AT938" s="24"/>
      <c r="AU938" s="24"/>
      <c r="AV938" s="58"/>
      <c r="AW938" s="24"/>
      <c r="AX938" s="24"/>
      <c r="AY938" s="58"/>
      <c r="AZ938" s="24"/>
      <c r="BA938" s="24"/>
      <c r="BB938" s="58"/>
      <c r="BC938" s="24"/>
      <c r="BD938" s="24"/>
      <c r="BE938" s="58"/>
      <c r="BF938" s="24"/>
      <c r="BG938" s="24"/>
      <c r="BH938" s="58"/>
      <c r="BI938" s="24"/>
      <c r="BJ938" s="24"/>
      <c r="BK938" s="58"/>
      <c r="BL938" s="24"/>
      <c r="BM938" s="24"/>
      <c r="BN938" s="58"/>
      <c r="BO938" s="24"/>
      <c r="BP938" s="24"/>
      <c r="BQ938" s="58"/>
      <c r="BR938" s="24"/>
      <c r="BS938" s="24"/>
      <c r="BT938" s="58"/>
      <c r="BU938" s="24"/>
      <c r="BV938" s="24"/>
      <c r="BW938" s="58"/>
      <c r="BX938" s="24"/>
      <c r="BY938" s="24"/>
      <c r="BZ938" s="58"/>
      <c r="CA938" s="24"/>
      <c r="CB938" s="24"/>
      <c r="CC938" s="58"/>
      <c r="CD938" s="24"/>
      <c r="CE938" s="24"/>
      <c r="CF938" s="58"/>
      <c r="CG938" s="24"/>
      <c r="CH938" s="24"/>
      <c r="CI938" s="58"/>
      <c r="CJ938" s="24"/>
      <c r="CK938" s="24"/>
      <c r="CL938" s="58"/>
      <c r="CM938" s="24"/>
      <c r="CN938" s="24"/>
      <c r="CO938" s="58"/>
      <c r="CP938" s="24"/>
      <c r="CQ938" s="24"/>
      <c r="CR938" s="58"/>
      <c r="CS938" s="24"/>
      <c r="CT938" s="24"/>
      <c r="CU938" s="58"/>
    </row>
    <row r="939">
      <c r="A939" s="24"/>
      <c r="B939" s="24"/>
      <c r="C939" s="24"/>
      <c r="D939" s="24"/>
      <c r="E939" s="24"/>
      <c r="F939" s="58"/>
      <c r="G939" s="24"/>
      <c r="H939" s="24"/>
      <c r="I939" s="58"/>
      <c r="J939" s="24"/>
      <c r="K939" s="24"/>
      <c r="L939" s="58"/>
      <c r="M939" s="24"/>
      <c r="N939" s="24"/>
      <c r="O939" s="58"/>
      <c r="P939" s="24"/>
      <c r="Q939" s="24"/>
      <c r="R939" s="58"/>
      <c r="S939" s="24"/>
      <c r="T939" s="24"/>
      <c r="U939" s="58"/>
      <c r="V939" s="24"/>
      <c r="W939" s="24"/>
      <c r="X939" s="58"/>
      <c r="Y939" s="24"/>
      <c r="Z939" s="24"/>
      <c r="AA939" s="58"/>
      <c r="AB939" s="24"/>
      <c r="AC939" s="24"/>
      <c r="AD939" s="58"/>
      <c r="AE939" s="24"/>
      <c r="AF939" s="24"/>
      <c r="AG939" s="58"/>
      <c r="AH939" s="24"/>
      <c r="AI939" s="24"/>
      <c r="AJ939" s="58"/>
      <c r="AK939" s="24"/>
      <c r="AL939" s="24"/>
      <c r="AM939" s="58"/>
      <c r="AN939" s="24"/>
      <c r="AO939" s="24"/>
      <c r="AP939" s="58"/>
      <c r="AQ939" s="24"/>
      <c r="AR939" s="24"/>
      <c r="AS939" s="58"/>
      <c r="AT939" s="24"/>
      <c r="AU939" s="24"/>
      <c r="AV939" s="58"/>
      <c r="AW939" s="24"/>
      <c r="AX939" s="24"/>
      <c r="AY939" s="58"/>
      <c r="AZ939" s="24"/>
      <c r="BA939" s="24"/>
      <c r="BB939" s="58"/>
      <c r="BC939" s="24"/>
      <c r="BD939" s="24"/>
      <c r="BE939" s="58"/>
      <c r="BF939" s="24"/>
      <c r="BG939" s="24"/>
      <c r="BH939" s="58"/>
      <c r="BI939" s="24"/>
      <c r="BJ939" s="24"/>
      <c r="BK939" s="58"/>
      <c r="BL939" s="24"/>
      <c r="BM939" s="24"/>
      <c r="BN939" s="58"/>
      <c r="BO939" s="24"/>
      <c r="BP939" s="24"/>
      <c r="BQ939" s="58"/>
      <c r="BR939" s="24"/>
      <c r="BS939" s="24"/>
      <c r="BT939" s="58"/>
      <c r="BU939" s="24"/>
      <c r="BV939" s="24"/>
      <c r="BW939" s="58"/>
      <c r="BX939" s="24"/>
      <c r="BY939" s="24"/>
      <c r="BZ939" s="58"/>
      <c r="CA939" s="24"/>
      <c r="CB939" s="24"/>
      <c r="CC939" s="58"/>
      <c r="CD939" s="24"/>
      <c r="CE939" s="24"/>
      <c r="CF939" s="58"/>
      <c r="CG939" s="24"/>
      <c r="CH939" s="24"/>
      <c r="CI939" s="58"/>
      <c r="CJ939" s="24"/>
      <c r="CK939" s="24"/>
      <c r="CL939" s="58"/>
      <c r="CM939" s="24"/>
      <c r="CN939" s="24"/>
      <c r="CO939" s="58"/>
      <c r="CP939" s="24"/>
      <c r="CQ939" s="24"/>
      <c r="CR939" s="58"/>
      <c r="CS939" s="24"/>
      <c r="CT939" s="24"/>
      <c r="CU939" s="58"/>
    </row>
    <row r="940">
      <c r="A940" s="24"/>
      <c r="B940" s="24"/>
      <c r="C940" s="24"/>
      <c r="D940" s="24"/>
      <c r="E940" s="24"/>
      <c r="F940" s="58"/>
      <c r="G940" s="24"/>
      <c r="H940" s="24"/>
      <c r="I940" s="58"/>
      <c r="J940" s="24"/>
      <c r="K940" s="24"/>
      <c r="L940" s="58"/>
      <c r="M940" s="24"/>
      <c r="N940" s="24"/>
      <c r="O940" s="58"/>
      <c r="P940" s="24"/>
      <c r="Q940" s="24"/>
      <c r="R940" s="58"/>
      <c r="S940" s="24"/>
      <c r="T940" s="24"/>
      <c r="U940" s="58"/>
      <c r="V940" s="24"/>
      <c r="W940" s="24"/>
      <c r="X940" s="58"/>
      <c r="Y940" s="24"/>
      <c r="Z940" s="24"/>
      <c r="AA940" s="58"/>
      <c r="AB940" s="24"/>
      <c r="AC940" s="24"/>
      <c r="AD940" s="58"/>
      <c r="AE940" s="24"/>
      <c r="AF940" s="24"/>
      <c r="AG940" s="58"/>
      <c r="AH940" s="24"/>
      <c r="AI940" s="24"/>
      <c r="AJ940" s="58"/>
      <c r="AK940" s="24"/>
      <c r="AL940" s="24"/>
      <c r="AM940" s="58"/>
      <c r="AN940" s="24"/>
      <c r="AO940" s="24"/>
      <c r="AP940" s="58"/>
      <c r="AQ940" s="24"/>
      <c r="AR940" s="24"/>
      <c r="AS940" s="58"/>
      <c r="AT940" s="24"/>
      <c r="AU940" s="24"/>
      <c r="AV940" s="58"/>
      <c r="AW940" s="24"/>
      <c r="AX940" s="24"/>
      <c r="AY940" s="58"/>
      <c r="AZ940" s="24"/>
      <c r="BA940" s="24"/>
      <c r="BB940" s="58"/>
      <c r="BC940" s="24"/>
      <c r="BD940" s="24"/>
      <c r="BE940" s="58"/>
      <c r="BF940" s="24"/>
      <c r="BG940" s="24"/>
      <c r="BH940" s="58"/>
      <c r="BI940" s="24"/>
      <c r="BJ940" s="24"/>
      <c r="BK940" s="58"/>
      <c r="BL940" s="24"/>
      <c r="BM940" s="24"/>
      <c r="BN940" s="58"/>
      <c r="BO940" s="24"/>
      <c r="BP940" s="24"/>
      <c r="BQ940" s="58"/>
      <c r="BR940" s="24"/>
      <c r="BS940" s="24"/>
      <c r="BT940" s="58"/>
      <c r="BU940" s="24"/>
      <c r="BV940" s="24"/>
      <c r="BW940" s="58"/>
      <c r="BX940" s="24"/>
      <c r="BY940" s="24"/>
      <c r="BZ940" s="58"/>
      <c r="CA940" s="24"/>
      <c r="CB940" s="24"/>
      <c r="CC940" s="58"/>
      <c r="CD940" s="24"/>
      <c r="CE940" s="24"/>
      <c r="CF940" s="58"/>
      <c r="CG940" s="24"/>
      <c r="CH940" s="24"/>
      <c r="CI940" s="58"/>
      <c r="CJ940" s="24"/>
      <c r="CK940" s="24"/>
      <c r="CL940" s="58"/>
      <c r="CM940" s="24"/>
      <c r="CN940" s="24"/>
      <c r="CO940" s="58"/>
      <c r="CP940" s="24"/>
      <c r="CQ940" s="24"/>
      <c r="CR940" s="58"/>
      <c r="CS940" s="24"/>
      <c r="CT940" s="24"/>
      <c r="CU940" s="58"/>
    </row>
    <row r="941">
      <c r="A941" s="24"/>
      <c r="B941" s="24"/>
      <c r="C941" s="24"/>
      <c r="D941" s="24"/>
      <c r="E941" s="24"/>
      <c r="F941" s="58"/>
      <c r="G941" s="24"/>
      <c r="H941" s="24"/>
      <c r="I941" s="58"/>
      <c r="J941" s="24"/>
      <c r="K941" s="24"/>
      <c r="L941" s="58"/>
      <c r="M941" s="24"/>
      <c r="N941" s="24"/>
      <c r="O941" s="58"/>
      <c r="P941" s="24"/>
      <c r="Q941" s="24"/>
      <c r="R941" s="58"/>
      <c r="S941" s="24"/>
      <c r="T941" s="24"/>
      <c r="U941" s="58"/>
      <c r="V941" s="24"/>
      <c r="W941" s="24"/>
      <c r="X941" s="58"/>
      <c r="Y941" s="24"/>
      <c r="Z941" s="24"/>
      <c r="AA941" s="58"/>
      <c r="AB941" s="24"/>
      <c r="AC941" s="24"/>
      <c r="AD941" s="58"/>
      <c r="AE941" s="24"/>
      <c r="AF941" s="24"/>
      <c r="AG941" s="58"/>
      <c r="AH941" s="24"/>
      <c r="AI941" s="24"/>
      <c r="AJ941" s="58"/>
      <c r="AK941" s="24"/>
      <c r="AL941" s="24"/>
      <c r="AM941" s="58"/>
      <c r="AN941" s="24"/>
      <c r="AO941" s="24"/>
      <c r="AP941" s="58"/>
      <c r="AQ941" s="24"/>
      <c r="AR941" s="24"/>
      <c r="AS941" s="58"/>
      <c r="AT941" s="24"/>
      <c r="AU941" s="24"/>
      <c r="AV941" s="58"/>
      <c r="AW941" s="24"/>
      <c r="AX941" s="24"/>
      <c r="AY941" s="58"/>
      <c r="AZ941" s="24"/>
      <c r="BA941" s="24"/>
      <c r="BB941" s="58"/>
      <c r="BC941" s="24"/>
      <c r="BD941" s="24"/>
      <c r="BE941" s="58"/>
      <c r="BF941" s="24"/>
      <c r="BG941" s="24"/>
      <c r="BH941" s="58"/>
      <c r="BI941" s="24"/>
      <c r="BJ941" s="24"/>
      <c r="BK941" s="58"/>
      <c r="BL941" s="24"/>
      <c r="BM941" s="24"/>
      <c r="BN941" s="58"/>
      <c r="BO941" s="24"/>
      <c r="BP941" s="24"/>
      <c r="BQ941" s="58"/>
      <c r="BR941" s="24"/>
      <c r="BS941" s="24"/>
      <c r="BT941" s="58"/>
      <c r="BU941" s="24"/>
      <c r="BV941" s="24"/>
      <c r="BW941" s="58"/>
      <c r="BX941" s="24"/>
      <c r="BY941" s="24"/>
      <c r="BZ941" s="58"/>
      <c r="CA941" s="24"/>
      <c r="CB941" s="24"/>
      <c r="CC941" s="58"/>
      <c r="CD941" s="24"/>
      <c r="CE941" s="24"/>
      <c r="CF941" s="58"/>
      <c r="CG941" s="24"/>
      <c r="CH941" s="24"/>
      <c r="CI941" s="58"/>
      <c r="CJ941" s="24"/>
      <c r="CK941" s="24"/>
      <c r="CL941" s="58"/>
      <c r="CM941" s="24"/>
      <c r="CN941" s="24"/>
      <c r="CO941" s="58"/>
      <c r="CP941" s="24"/>
      <c r="CQ941" s="24"/>
      <c r="CR941" s="58"/>
      <c r="CS941" s="24"/>
      <c r="CT941" s="24"/>
      <c r="CU941" s="58"/>
    </row>
    <row r="942">
      <c r="A942" s="24"/>
      <c r="B942" s="24"/>
      <c r="C942" s="24"/>
      <c r="D942" s="24"/>
      <c r="E942" s="24"/>
      <c r="F942" s="58"/>
      <c r="G942" s="24"/>
      <c r="H942" s="24"/>
      <c r="I942" s="58"/>
      <c r="J942" s="24"/>
      <c r="K942" s="24"/>
      <c r="L942" s="58"/>
      <c r="M942" s="24"/>
      <c r="N942" s="24"/>
      <c r="O942" s="58"/>
      <c r="P942" s="24"/>
      <c r="Q942" s="24"/>
      <c r="R942" s="58"/>
      <c r="S942" s="24"/>
      <c r="T942" s="24"/>
      <c r="U942" s="58"/>
      <c r="V942" s="24"/>
      <c r="W942" s="24"/>
      <c r="X942" s="58"/>
      <c r="Y942" s="24"/>
      <c r="Z942" s="24"/>
      <c r="AA942" s="58"/>
      <c r="AB942" s="24"/>
      <c r="AC942" s="24"/>
      <c r="AD942" s="58"/>
      <c r="AE942" s="24"/>
      <c r="AF942" s="24"/>
      <c r="AG942" s="58"/>
      <c r="AH942" s="24"/>
      <c r="AI942" s="24"/>
      <c r="AJ942" s="58"/>
      <c r="AK942" s="24"/>
      <c r="AL942" s="24"/>
      <c r="AM942" s="58"/>
      <c r="AN942" s="24"/>
      <c r="AO942" s="24"/>
      <c r="AP942" s="58"/>
      <c r="AQ942" s="24"/>
      <c r="AR942" s="24"/>
      <c r="AS942" s="58"/>
      <c r="AT942" s="24"/>
      <c r="AU942" s="24"/>
      <c r="AV942" s="58"/>
      <c r="AW942" s="24"/>
      <c r="AX942" s="24"/>
      <c r="AY942" s="58"/>
      <c r="AZ942" s="24"/>
      <c r="BA942" s="24"/>
      <c r="BB942" s="58"/>
      <c r="BC942" s="24"/>
      <c r="BD942" s="24"/>
      <c r="BE942" s="58"/>
      <c r="BF942" s="24"/>
      <c r="BG942" s="24"/>
      <c r="BH942" s="58"/>
      <c r="BI942" s="24"/>
      <c r="BJ942" s="24"/>
      <c r="BK942" s="58"/>
      <c r="BL942" s="24"/>
      <c r="BM942" s="24"/>
      <c r="BN942" s="58"/>
      <c r="BO942" s="24"/>
      <c r="BP942" s="24"/>
      <c r="BQ942" s="58"/>
      <c r="BR942" s="24"/>
      <c r="BS942" s="24"/>
      <c r="BT942" s="58"/>
      <c r="BU942" s="24"/>
      <c r="BV942" s="24"/>
      <c r="BW942" s="58"/>
      <c r="BX942" s="24"/>
      <c r="BY942" s="24"/>
      <c r="BZ942" s="58"/>
      <c r="CA942" s="24"/>
      <c r="CB942" s="24"/>
      <c r="CC942" s="58"/>
      <c r="CD942" s="24"/>
      <c r="CE942" s="24"/>
      <c r="CF942" s="58"/>
      <c r="CG942" s="24"/>
      <c r="CH942" s="24"/>
      <c r="CI942" s="58"/>
      <c r="CJ942" s="24"/>
      <c r="CK942" s="24"/>
      <c r="CL942" s="58"/>
      <c r="CM942" s="24"/>
      <c r="CN942" s="24"/>
      <c r="CO942" s="58"/>
      <c r="CP942" s="24"/>
      <c r="CQ942" s="24"/>
      <c r="CR942" s="58"/>
      <c r="CS942" s="24"/>
      <c r="CT942" s="24"/>
      <c r="CU942" s="58"/>
    </row>
    <row r="943">
      <c r="A943" s="24"/>
      <c r="B943" s="24"/>
      <c r="C943" s="24"/>
      <c r="D943" s="24"/>
      <c r="E943" s="24"/>
      <c r="F943" s="58"/>
      <c r="G943" s="24"/>
      <c r="H943" s="24"/>
      <c r="I943" s="58"/>
      <c r="J943" s="24"/>
      <c r="K943" s="24"/>
      <c r="L943" s="58"/>
      <c r="M943" s="24"/>
      <c r="N943" s="24"/>
      <c r="O943" s="58"/>
      <c r="P943" s="24"/>
      <c r="Q943" s="24"/>
      <c r="R943" s="58"/>
      <c r="S943" s="24"/>
      <c r="T943" s="24"/>
      <c r="U943" s="58"/>
      <c r="V943" s="24"/>
      <c r="W943" s="24"/>
      <c r="X943" s="58"/>
      <c r="Y943" s="24"/>
      <c r="Z943" s="24"/>
      <c r="AA943" s="58"/>
      <c r="AB943" s="24"/>
      <c r="AC943" s="24"/>
      <c r="AD943" s="58"/>
      <c r="AE943" s="24"/>
      <c r="AF943" s="24"/>
      <c r="AG943" s="58"/>
      <c r="AH943" s="24"/>
      <c r="AI943" s="24"/>
      <c r="AJ943" s="58"/>
      <c r="AK943" s="24"/>
      <c r="AL943" s="24"/>
      <c r="AM943" s="58"/>
      <c r="AN943" s="24"/>
      <c r="AO943" s="24"/>
      <c r="AP943" s="58"/>
      <c r="AQ943" s="24"/>
      <c r="AR943" s="24"/>
      <c r="AS943" s="58"/>
      <c r="AT943" s="24"/>
      <c r="AU943" s="24"/>
      <c r="AV943" s="58"/>
      <c r="AW943" s="24"/>
      <c r="AX943" s="24"/>
      <c r="AY943" s="58"/>
      <c r="AZ943" s="24"/>
      <c r="BA943" s="24"/>
      <c r="BB943" s="58"/>
      <c r="BC943" s="24"/>
      <c r="BD943" s="24"/>
      <c r="BE943" s="58"/>
      <c r="BF943" s="24"/>
      <c r="BG943" s="24"/>
      <c r="BH943" s="58"/>
      <c r="BI943" s="24"/>
      <c r="BJ943" s="24"/>
      <c r="BK943" s="58"/>
      <c r="BL943" s="24"/>
      <c r="BM943" s="24"/>
      <c r="BN943" s="58"/>
      <c r="BO943" s="24"/>
      <c r="BP943" s="24"/>
      <c r="BQ943" s="58"/>
      <c r="BR943" s="24"/>
      <c r="BS943" s="24"/>
      <c r="BT943" s="58"/>
      <c r="BU943" s="24"/>
      <c r="BV943" s="24"/>
      <c r="BW943" s="58"/>
      <c r="BX943" s="24"/>
      <c r="BY943" s="24"/>
      <c r="BZ943" s="58"/>
      <c r="CA943" s="24"/>
      <c r="CB943" s="24"/>
      <c r="CC943" s="58"/>
      <c r="CD943" s="24"/>
      <c r="CE943" s="24"/>
      <c r="CF943" s="58"/>
      <c r="CG943" s="24"/>
      <c r="CH943" s="24"/>
      <c r="CI943" s="58"/>
      <c r="CJ943" s="24"/>
      <c r="CK943" s="24"/>
      <c r="CL943" s="58"/>
      <c r="CM943" s="24"/>
      <c r="CN943" s="24"/>
      <c r="CO943" s="58"/>
      <c r="CP943" s="24"/>
      <c r="CQ943" s="24"/>
      <c r="CR943" s="58"/>
      <c r="CS943" s="24"/>
      <c r="CT943" s="24"/>
      <c r="CU943" s="58"/>
    </row>
    <row r="944">
      <c r="A944" s="24"/>
      <c r="B944" s="24"/>
      <c r="C944" s="24"/>
      <c r="D944" s="24"/>
      <c r="E944" s="24"/>
      <c r="F944" s="58"/>
      <c r="G944" s="24"/>
      <c r="H944" s="24"/>
      <c r="I944" s="58"/>
      <c r="J944" s="24"/>
      <c r="K944" s="24"/>
      <c r="L944" s="58"/>
      <c r="M944" s="24"/>
      <c r="N944" s="24"/>
      <c r="O944" s="58"/>
      <c r="P944" s="24"/>
      <c r="Q944" s="24"/>
      <c r="R944" s="58"/>
      <c r="S944" s="24"/>
      <c r="T944" s="24"/>
      <c r="U944" s="58"/>
      <c r="V944" s="24"/>
      <c r="W944" s="24"/>
      <c r="X944" s="58"/>
      <c r="Y944" s="24"/>
      <c r="Z944" s="24"/>
      <c r="AA944" s="58"/>
      <c r="AB944" s="24"/>
      <c r="AC944" s="24"/>
      <c r="AD944" s="58"/>
      <c r="AE944" s="24"/>
      <c r="AF944" s="24"/>
      <c r="AG944" s="58"/>
      <c r="AH944" s="24"/>
      <c r="AI944" s="24"/>
      <c r="AJ944" s="58"/>
      <c r="AK944" s="24"/>
      <c r="AL944" s="24"/>
      <c r="AM944" s="58"/>
      <c r="AN944" s="24"/>
      <c r="AO944" s="24"/>
      <c r="AP944" s="58"/>
      <c r="AQ944" s="24"/>
      <c r="AR944" s="24"/>
      <c r="AS944" s="58"/>
      <c r="AT944" s="24"/>
      <c r="AU944" s="24"/>
      <c r="AV944" s="58"/>
      <c r="AW944" s="24"/>
      <c r="AX944" s="24"/>
      <c r="AY944" s="58"/>
      <c r="AZ944" s="24"/>
      <c r="BA944" s="24"/>
      <c r="BB944" s="58"/>
      <c r="BC944" s="24"/>
      <c r="BD944" s="24"/>
      <c r="BE944" s="58"/>
      <c r="BF944" s="24"/>
      <c r="BG944" s="24"/>
      <c r="BH944" s="58"/>
      <c r="BI944" s="24"/>
      <c r="BJ944" s="24"/>
      <c r="BK944" s="58"/>
      <c r="BL944" s="24"/>
      <c r="BM944" s="24"/>
      <c r="BN944" s="58"/>
      <c r="BO944" s="24"/>
      <c r="BP944" s="24"/>
      <c r="BQ944" s="58"/>
      <c r="BR944" s="24"/>
      <c r="BS944" s="24"/>
      <c r="BT944" s="58"/>
      <c r="BU944" s="24"/>
      <c r="BV944" s="24"/>
      <c r="BW944" s="58"/>
      <c r="BX944" s="24"/>
      <c r="BY944" s="24"/>
      <c r="BZ944" s="58"/>
      <c r="CA944" s="24"/>
      <c r="CB944" s="24"/>
      <c r="CC944" s="58"/>
      <c r="CD944" s="24"/>
      <c r="CE944" s="24"/>
      <c r="CF944" s="58"/>
      <c r="CG944" s="24"/>
      <c r="CH944" s="24"/>
      <c r="CI944" s="58"/>
      <c r="CJ944" s="24"/>
      <c r="CK944" s="24"/>
      <c r="CL944" s="58"/>
      <c r="CM944" s="24"/>
      <c r="CN944" s="24"/>
      <c r="CO944" s="58"/>
      <c r="CP944" s="24"/>
      <c r="CQ944" s="24"/>
      <c r="CR944" s="58"/>
      <c r="CS944" s="24"/>
      <c r="CT944" s="24"/>
      <c r="CU944" s="58"/>
    </row>
    <row r="945">
      <c r="A945" s="24"/>
      <c r="B945" s="24"/>
      <c r="C945" s="24"/>
      <c r="D945" s="24"/>
      <c r="E945" s="24"/>
      <c r="F945" s="58"/>
      <c r="G945" s="24"/>
      <c r="H945" s="24"/>
      <c r="I945" s="58"/>
      <c r="J945" s="24"/>
      <c r="K945" s="24"/>
      <c r="L945" s="58"/>
      <c r="M945" s="24"/>
      <c r="N945" s="24"/>
      <c r="O945" s="58"/>
      <c r="P945" s="24"/>
      <c r="Q945" s="24"/>
      <c r="R945" s="58"/>
      <c r="S945" s="24"/>
      <c r="T945" s="24"/>
      <c r="U945" s="58"/>
      <c r="V945" s="24"/>
      <c r="W945" s="24"/>
      <c r="X945" s="58"/>
      <c r="Y945" s="24"/>
      <c r="Z945" s="24"/>
      <c r="AA945" s="58"/>
      <c r="AB945" s="24"/>
      <c r="AC945" s="24"/>
      <c r="AD945" s="58"/>
      <c r="AE945" s="24"/>
      <c r="AF945" s="24"/>
      <c r="AG945" s="58"/>
      <c r="AH945" s="24"/>
      <c r="AI945" s="24"/>
      <c r="AJ945" s="58"/>
      <c r="AK945" s="24"/>
      <c r="AL945" s="24"/>
      <c r="AM945" s="58"/>
      <c r="AN945" s="24"/>
      <c r="AO945" s="24"/>
      <c r="AP945" s="58"/>
      <c r="AQ945" s="24"/>
      <c r="AR945" s="24"/>
      <c r="AS945" s="58"/>
      <c r="AT945" s="24"/>
      <c r="AU945" s="24"/>
      <c r="AV945" s="58"/>
      <c r="AW945" s="24"/>
      <c r="AX945" s="24"/>
      <c r="AY945" s="58"/>
      <c r="AZ945" s="24"/>
      <c r="BA945" s="24"/>
      <c r="BB945" s="58"/>
      <c r="BC945" s="24"/>
      <c r="BD945" s="24"/>
      <c r="BE945" s="58"/>
      <c r="BF945" s="24"/>
      <c r="BG945" s="24"/>
      <c r="BH945" s="58"/>
      <c r="BI945" s="24"/>
      <c r="BJ945" s="24"/>
      <c r="BK945" s="58"/>
      <c r="BL945" s="24"/>
      <c r="BM945" s="24"/>
      <c r="BN945" s="58"/>
      <c r="BO945" s="24"/>
      <c r="BP945" s="24"/>
      <c r="BQ945" s="58"/>
      <c r="BR945" s="24"/>
      <c r="BS945" s="24"/>
      <c r="BT945" s="58"/>
      <c r="BU945" s="24"/>
      <c r="BV945" s="24"/>
      <c r="BW945" s="58"/>
      <c r="BX945" s="24"/>
      <c r="BY945" s="24"/>
      <c r="BZ945" s="58"/>
      <c r="CA945" s="24"/>
      <c r="CB945" s="24"/>
      <c r="CC945" s="58"/>
      <c r="CD945" s="24"/>
      <c r="CE945" s="24"/>
      <c r="CF945" s="58"/>
      <c r="CG945" s="24"/>
      <c r="CH945" s="24"/>
      <c r="CI945" s="58"/>
      <c r="CJ945" s="24"/>
      <c r="CK945" s="24"/>
      <c r="CL945" s="58"/>
      <c r="CM945" s="24"/>
      <c r="CN945" s="24"/>
      <c r="CO945" s="58"/>
      <c r="CP945" s="24"/>
      <c r="CQ945" s="24"/>
      <c r="CR945" s="58"/>
      <c r="CS945" s="24"/>
      <c r="CT945" s="24"/>
      <c r="CU945" s="58"/>
    </row>
    <row r="946">
      <c r="A946" s="24"/>
      <c r="B946" s="24"/>
      <c r="C946" s="24"/>
      <c r="D946" s="24"/>
      <c r="E946" s="24"/>
      <c r="F946" s="58"/>
      <c r="G946" s="24"/>
      <c r="H946" s="24"/>
      <c r="I946" s="58"/>
      <c r="J946" s="24"/>
      <c r="K946" s="24"/>
      <c r="L946" s="58"/>
      <c r="M946" s="24"/>
      <c r="N946" s="24"/>
      <c r="O946" s="58"/>
      <c r="P946" s="24"/>
      <c r="Q946" s="24"/>
      <c r="R946" s="58"/>
      <c r="S946" s="24"/>
      <c r="T946" s="24"/>
      <c r="U946" s="58"/>
      <c r="V946" s="24"/>
      <c r="W946" s="24"/>
      <c r="X946" s="58"/>
      <c r="Y946" s="24"/>
      <c r="Z946" s="24"/>
      <c r="AA946" s="58"/>
      <c r="AB946" s="24"/>
      <c r="AC946" s="24"/>
      <c r="AD946" s="58"/>
      <c r="AE946" s="24"/>
      <c r="AF946" s="24"/>
      <c r="AG946" s="58"/>
      <c r="AH946" s="24"/>
      <c r="AI946" s="24"/>
      <c r="AJ946" s="58"/>
      <c r="AK946" s="24"/>
      <c r="AL946" s="24"/>
      <c r="AM946" s="58"/>
      <c r="AN946" s="24"/>
      <c r="AO946" s="24"/>
      <c r="AP946" s="58"/>
      <c r="AQ946" s="24"/>
      <c r="AR946" s="24"/>
      <c r="AS946" s="58"/>
      <c r="AT946" s="24"/>
      <c r="AU946" s="24"/>
      <c r="AV946" s="58"/>
      <c r="AW946" s="24"/>
      <c r="AX946" s="24"/>
      <c r="AY946" s="58"/>
      <c r="AZ946" s="24"/>
      <c r="BA946" s="24"/>
      <c r="BB946" s="58"/>
      <c r="BC946" s="24"/>
      <c r="BD946" s="24"/>
      <c r="BE946" s="58"/>
      <c r="BF946" s="24"/>
      <c r="BG946" s="24"/>
      <c r="BH946" s="58"/>
      <c r="BI946" s="24"/>
      <c r="BJ946" s="24"/>
      <c r="BK946" s="58"/>
      <c r="BL946" s="24"/>
      <c r="BM946" s="24"/>
      <c r="BN946" s="58"/>
      <c r="BO946" s="24"/>
      <c r="BP946" s="24"/>
      <c r="BQ946" s="58"/>
      <c r="BR946" s="24"/>
      <c r="BS946" s="24"/>
      <c r="BT946" s="58"/>
      <c r="BU946" s="24"/>
      <c r="BV946" s="24"/>
      <c r="BW946" s="58"/>
      <c r="BX946" s="24"/>
      <c r="BY946" s="24"/>
      <c r="BZ946" s="58"/>
      <c r="CA946" s="24"/>
      <c r="CB946" s="24"/>
      <c r="CC946" s="58"/>
      <c r="CD946" s="24"/>
      <c r="CE946" s="24"/>
      <c r="CF946" s="58"/>
      <c r="CG946" s="24"/>
      <c r="CH946" s="24"/>
      <c r="CI946" s="58"/>
      <c r="CJ946" s="24"/>
      <c r="CK946" s="24"/>
      <c r="CL946" s="58"/>
      <c r="CM946" s="24"/>
      <c r="CN946" s="24"/>
      <c r="CO946" s="58"/>
      <c r="CP946" s="24"/>
      <c r="CQ946" s="24"/>
      <c r="CR946" s="58"/>
      <c r="CS946" s="24"/>
      <c r="CT946" s="24"/>
      <c r="CU946" s="58"/>
    </row>
    <row r="947">
      <c r="A947" s="24"/>
      <c r="B947" s="24"/>
      <c r="C947" s="24"/>
      <c r="D947" s="24"/>
      <c r="E947" s="24"/>
      <c r="F947" s="58"/>
      <c r="G947" s="24"/>
      <c r="H947" s="24"/>
      <c r="I947" s="58"/>
      <c r="J947" s="24"/>
      <c r="K947" s="24"/>
      <c r="L947" s="58"/>
      <c r="M947" s="24"/>
      <c r="N947" s="24"/>
      <c r="O947" s="58"/>
      <c r="P947" s="24"/>
      <c r="Q947" s="24"/>
      <c r="R947" s="58"/>
      <c r="S947" s="24"/>
      <c r="T947" s="24"/>
      <c r="U947" s="58"/>
      <c r="V947" s="24"/>
      <c r="W947" s="24"/>
      <c r="X947" s="58"/>
      <c r="Y947" s="24"/>
      <c r="Z947" s="24"/>
      <c r="AA947" s="58"/>
      <c r="AB947" s="24"/>
      <c r="AC947" s="24"/>
      <c r="AD947" s="58"/>
      <c r="AE947" s="24"/>
      <c r="AF947" s="24"/>
      <c r="AG947" s="58"/>
      <c r="AH947" s="24"/>
      <c r="AI947" s="24"/>
      <c r="AJ947" s="58"/>
      <c r="AK947" s="24"/>
      <c r="AL947" s="24"/>
      <c r="AM947" s="58"/>
      <c r="AN947" s="24"/>
      <c r="AO947" s="24"/>
      <c r="AP947" s="58"/>
      <c r="AQ947" s="24"/>
      <c r="AR947" s="24"/>
      <c r="AS947" s="58"/>
      <c r="AT947" s="24"/>
      <c r="AU947" s="24"/>
      <c r="AV947" s="58"/>
      <c r="AW947" s="24"/>
      <c r="AX947" s="24"/>
      <c r="AY947" s="58"/>
      <c r="AZ947" s="24"/>
      <c r="BA947" s="24"/>
      <c r="BB947" s="58"/>
      <c r="BC947" s="24"/>
      <c r="BD947" s="24"/>
      <c r="BE947" s="58"/>
      <c r="BF947" s="24"/>
      <c r="BG947" s="24"/>
      <c r="BH947" s="58"/>
      <c r="BI947" s="24"/>
      <c r="BJ947" s="24"/>
      <c r="BK947" s="58"/>
      <c r="BL947" s="24"/>
      <c r="BM947" s="24"/>
      <c r="BN947" s="58"/>
      <c r="BO947" s="24"/>
      <c r="BP947" s="24"/>
      <c r="BQ947" s="58"/>
      <c r="BR947" s="24"/>
      <c r="BS947" s="24"/>
      <c r="BT947" s="58"/>
      <c r="BU947" s="24"/>
      <c r="BV947" s="24"/>
      <c r="BW947" s="58"/>
      <c r="BX947" s="24"/>
      <c r="BY947" s="24"/>
      <c r="BZ947" s="58"/>
      <c r="CA947" s="24"/>
      <c r="CB947" s="24"/>
      <c r="CC947" s="58"/>
      <c r="CD947" s="24"/>
      <c r="CE947" s="24"/>
      <c r="CF947" s="58"/>
      <c r="CG947" s="24"/>
      <c r="CH947" s="24"/>
      <c r="CI947" s="58"/>
      <c r="CJ947" s="24"/>
      <c r="CK947" s="24"/>
      <c r="CL947" s="58"/>
      <c r="CM947" s="24"/>
      <c r="CN947" s="24"/>
      <c r="CO947" s="58"/>
      <c r="CP947" s="24"/>
      <c r="CQ947" s="24"/>
      <c r="CR947" s="58"/>
      <c r="CS947" s="24"/>
      <c r="CT947" s="24"/>
      <c r="CU947" s="58"/>
    </row>
  </sheetData>
  <mergeCells count="665">
    <mergeCell ref="L3:L6"/>
    <mergeCell ref="L7:L8"/>
    <mergeCell ref="L9:L12"/>
    <mergeCell ref="R3:R6"/>
    <mergeCell ref="R7:R8"/>
    <mergeCell ref="R9:R12"/>
    <mergeCell ref="A3:A8"/>
    <mergeCell ref="B3:B6"/>
    <mergeCell ref="I3:I6"/>
    <mergeCell ref="O3:O6"/>
    <mergeCell ref="B7:B8"/>
    <mergeCell ref="I7:I8"/>
    <mergeCell ref="O7:O8"/>
    <mergeCell ref="A9:A12"/>
    <mergeCell ref="B9:B12"/>
    <mergeCell ref="F9:F12"/>
    <mergeCell ref="I9:I12"/>
    <mergeCell ref="O9:O12"/>
    <mergeCell ref="U9:U12"/>
    <mergeCell ref="X9:X12"/>
    <mergeCell ref="AA9:AA12"/>
    <mergeCell ref="AD9:AD12"/>
    <mergeCell ref="AG9:AG12"/>
    <mergeCell ref="AJ9:AJ12"/>
    <mergeCell ref="AM9:AM12"/>
    <mergeCell ref="AP9:AP12"/>
    <mergeCell ref="AS9:AS12"/>
    <mergeCell ref="AV9:AV12"/>
    <mergeCell ref="AY9:AY12"/>
    <mergeCell ref="BB9:BB12"/>
    <mergeCell ref="BE9:BE12"/>
    <mergeCell ref="BH9:BH12"/>
    <mergeCell ref="BK9:BK12"/>
    <mergeCell ref="BN9:BN12"/>
    <mergeCell ref="CL9:CL12"/>
    <mergeCell ref="CO9:CO12"/>
    <mergeCell ref="CR9:CR12"/>
    <mergeCell ref="CU9:CU12"/>
    <mergeCell ref="BQ9:BQ12"/>
    <mergeCell ref="BT9:BT12"/>
    <mergeCell ref="BW9:BW12"/>
    <mergeCell ref="BZ9:BZ12"/>
    <mergeCell ref="CC9:CC12"/>
    <mergeCell ref="CF9:CF12"/>
    <mergeCell ref="CI9:CI12"/>
    <mergeCell ref="AR18:AR28"/>
    <mergeCell ref="AS18:AS29"/>
    <mergeCell ref="AK18:AK28"/>
    <mergeCell ref="AL18:AL28"/>
    <mergeCell ref="AM18:AM29"/>
    <mergeCell ref="AN18:AN28"/>
    <mergeCell ref="AO18:AO28"/>
    <mergeCell ref="AP18:AP29"/>
    <mergeCell ref="AQ18:AQ28"/>
    <mergeCell ref="BA18:BA28"/>
    <mergeCell ref="BB18:BB29"/>
    <mergeCell ref="AT18:AT28"/>
    <mergeCell ref="AU18:AU28"/>
    <mergeCell ref="AV18:AV29"/>
    <mergeCell ref="AW18:AW28"/>
    <mergeCell ref="AX18:AX28"/>
    <mergeCell ref="AY18:AY29"/>
    <mergeCell ref="AZ18:AZ28"/>
    <mergeCell ref="BJ18:BJ28"/>
    <mergeCell ref="BK18:BK29"/>
    <mergeCell ref="BC18:BC28"/>
    <mergeCell ref="BD18:BD28"/>
    <mergeCell ref="BE18:BE29"/>
    <mergeCell ref="BF18:BF28"/>
    <mergeCell ref="BG18:BG28"/>
    <mergeCell ref="BH18:BH29"/>
    <mergeCell ref="BI18:BI28"/>
    <mergeCell ref="BL18:BL28"/>
    <mergeCell ref="BM18:BM28"/>
    <mergeCell ref="BN18:BN29"/>
    <mergeCell ref="BO18:BO28"/>
    <mergeCell ref="BP18:BP28"/>
    <mergeCell ref="BQ18:BQ29"/>
    <mergeCell ref="BR18:BR28"/>
    <mergeCell ref="BS18:BS28"/>
    <mergeCell ref="BT18:BT29"/>
    <mergeCell ref="BU18:BU28"/>
    <mergeCell ref="BV18:BV28"/>
    <mergeCell ref="BW18:BW29"/>
    <mergeCell ref="BX18:BX28"/>
    <mergeCell ref="BY18:BY28"/>
    <mergeCell ref="BZ18:BZ29"/>
    <mergeCell ref="CA18:CA28"/>
    <mergeCell ref="CB18:CB28"/>
    <mergeCell ref="CC18:CC29"/>
    <mergeCell ref="CD18:CD28"/>
    <mergeCell ref="CE18:CE28"/>
    <mergeCell ref="CF18:CF29"/>
    <mergeCell ref="CN18:CN28"/>
    <mergeCell ref="CO18:CO29"/>
    <mergeCell ref="CP18:CP28"/>
    <mergeCell ref="CQ18:CQ28"/>
    <mergeCell ref="CR18:CR29"/>
    <mergeCell ref="CS18:CS28"/>
    <mergeCell ref="CT18:CT28"/>
    <mergeCell ref="CU18:CU29"/>
    <mergeCell ref="CG18:CG28"/>
    <mergeCell ref="CH18:CH28"/>
    <mergeCell ref="CI18:CI29"/>
    <mergeCell ref="CJ18:CJ28"/>
    <mergeCell ref="CK18:CK28"/>
    <mergeCell ref="CL18:CL29"/>
    <mergeCell ref="CM18:CM28"/>
    <mergeCell ref="U3:U6"/>
    <mergeCell ref="AA3:AA6"/>
    <mergeCell ref="AG3:AG6"/>
    <mergeCell ref="AM3:AM6"/>
    <mergeCell ref="U7:U8"/>
    <mergeCell ref="AA7:AA8"/>
    <mergeCell ref="AG7:AG8"/>
    <mergeCell ref="AM7:AM8"/>
    <mergeCell ref="AD3:AD6"/>
    <mergeCell ref="A13:A17"/>
    <mergeCell ref="B14:B17"/>
    <mergeCell ref="F14:F17"/>
    <mergeCell ref="I14:I17"/>
    <mergeCell ref="L14:L17"/>
    <mergeCell ref="AA14:AA17"/>
    <mergeCell ref="F18:F29"/>
    <mergeCell ref="G18:G28"/>
    <mergeCell ref="U14:U17"/>
    <mergeCell ref="X14:X17"/>
    <mergeCell ref="S18:S28"/>
    <mergeCell ref="T18:T28"/>
    <mergeCell ref="U18:U29"/>
    <mergeCell ref="V18:V28"/>
    <mergeCell ref="W18:W28"/>
    <mergeCell ref="AD7:AD8"/>
    <mergeCell ref="AD14:AD17"/>
    <mergeCell ref="AG14:AG17"/>
    <mergeCell ref="AG18:AG29"/>
    <mergeCell ref="AH18:AH28"/>
    <mergeCell ref="AI18:AI28"/>
    <mergeCell ref="AJ18:AJ29"/>
    <mergeCell ref="AJ3:AJ6"/>
    <mergeCell ref="AJ7:AJ8"/>
    <mergeCell ref="AJ14:AJ17"/>
    <mergeCell ref="AM14:AM17"/>
    <mergeCell ref="AP14:AP17"/>
    <mergeCell ref="AS14:AS17"/>
    <mergeCell ref="AV14:AV17"/>
    <mergeCell ref="AY14:AY17"/>
    <mergeCell ref="BB14:BB17"/>
    <mergeCell ref="BE14:BE17"/>
    <mergeCell ref="BH14:BH17"/>
    <mergeCell ref="BK14:BK17"/>
    <mergeCell ref="BN14:BN17"/>
    <mergeCell ref="BQ14:BQ17"/>
    <mergeCell ref="BK3:BK6"/>
    <mergeCell ref="BN3:BN6"/>
    <mergeCell ref="AP3:AP6"/>
    <mergeCell ref="AS3:AS6"/>
    <mergeCell ref="AV3:AV6"/>
    <mergeCell ref="AY3:AY6"/>
    <mergeCell ref="BB3:BB6"/>
    <mergeCell ref="BE3:BE6"/>
    <mergeCell ref="BH3:BH6"/>
    <mergeCell ref="CL3:CL6"/>
    <mergeCell ref="CO3:CO6"/>
    <mergeCell ref="BQ3:BQ6"/>
    <mergeCell ref="BT3:BT6"/>
    <mergeCell ref="BW3:BW6"/>
    <mergeCell ref="BZ3:BZ6"/>
    <mergeCell ref="CC3:CC6"/>
    <mergeCell ref="CF3:CF6"/>
    <mergeCell ref="CI3:CI6"/>
    <mergeCell ref="BZ7:BZ8"/>
    <mergeCell ref="CC7:CC8"/>
    <mergeCell ref="BE7:BE8"/>
    <mergeCell ref="BH7:BH8"/>
    <mergeCell ref="BK7:BK8"/>
    <mergeCell ref="BN7:BN8"/>
    <mergeCell ref="BQ7:BQ8"/>
    <mergeCell ref="BT7:BT8"/>
    <mergeCell ref="BW7:BW8"/>
    <mergeCell ref="V1:X1"/>
    <mergeCell ref="Y1:AA1"/>
    <mergeCell ref="AB1:AD1"/>
    <mergeCell ref="AE1:AG1"/>
    <mergeCell ref="AH1:AJ1"/>
    <mergeCell ref="AK1:AM1"/>
    <mergeCell ref="AN1:AP1"/>
    <mergeCell ref="AQ1:AS1"/>
    <mergeCell ref="AT1:AV1"/>
    <mergeCell ref="AW1:AY1"/>
    <mergeCell ref="AZ1:BB1"/>
    <mergeCell ref="BC1:BE1"/>
    <mergeCell ref="BF1:BH1"/>
    <mergeCell ref="BI1:BK1"/>
    <mergeCell ref="A1:C1"/>
    <mergeCell ref="D1:F1"/>
    <mergeCell ref="G1:I1"/>
    <mergeCell ref="J1:L1"/>
    <mergeCell ref="M1:O1"/>
    <mergeCell ref="P1:R1"/>
    <mergeCell ref="S1:U1"/>
    <mergeCell ref="BL1:BN1"/>
    <mergeCell ref="BO1:BQ1"/>
    <mergeCell ref="BR1:BT1"/>
    <mergeCell ref="BU1:BW1"/>
    <mergeCell ref="BX1:BZ1"/>
    <mergeCell ref="CA1:CC1"/>
    <mergeCell ref="CD1:CF1"/>
    <mergeCell ref="F3:F6"/>
    <mergeCell ref="F7:F8"/>
    <mergeCell ref="X3:X6"/>
    <mergeCell ref="X7:X8"/>
    <mergeCell ref="AP7:AP8"/>
    <mergeCell ref="AS7:AS8"/>
    <mergeCell ref="AV7:AV8"/>
    <mergeCell ref="AY7:AY8"/>
    <mergeCell ref="BB7:BB8"/>
    <mergeCell ref="CF7:CF8"/>
    <mergeCell ref="CI7:CI8"/>
    <mergeCell ref="CL7:CL8"/>
    <mergeCell ref="CO7:CO8"/>
    <mergeCell ref="CR7:CR8"/>
    <mergeCell ref="CU7:CU8"/>
    <mergeCell ref="CG1:CI1"/>
    <mergeCell ref="CJ1:CL1"/>
    <mergeCell ref="CM1:CO1"/>
    <mergeCell ref="CP1:CR1"/>
    <mergeCell ref="CS1:CU1"/>
    <mergeCell ref="CR3:CR6"/>
    <mergeCell ref="CU3:CU6"/>
    <mergeCell ref="CO14:CO17"/>
    <mergeCell ref="CR14:CR17"/>
    <mergeCell ref="CU14:CU17"/>
    <mergeCell ref="BT14:BT17"/>
    <mergeCell ref="BW14:BW17"/>
    <mergeCell ref="BZ14:BZ17"/>
    <mergeCell ref="CC14:CC17"/>
    <mergeCell ref="CF14:CF17"/>
    <mergeCell ref="CI14:CI17"/>
    <mergeCell ref="CL14:CL17"/>
    <mergeCell ref="AE18:AE28"/>
    <mergeCell ref="AF18:AF28"/>
    <mergeCell ref="X18:X29"/>
    <mergeCell ref="Y18:Y28"/>
    <mergeCell ref="Z18:Z28"/>
    <mergeCell ref="AA18:AA29"/>
    <mergeCell ref="AB18:AB28"/>
    <mergeCell ref="AC18:AC28"/>
    <mergeCell ref="AD18:AD29"/>
    <mergeCell ref="BN30:BN34"/>
    <mergeCell ref="BO30:BO34"/>
    <mergeCell ref="BP30:BP34"/>
    <mergeCell ref="BQ30:BQ34"/>
    <mergeCell ref="BR30:BR34"/>
    <mergeCell ref="BS30:BS34"/>
    <mergeCell ref="BT30:BT34"/>
    <mergeCell ref="BU30:BU34"/>
    <mergeCell ref="BV30:BV34"/>
    <mergeCell ref="BW30:BW34"/>
    <mergeCell ref="BX30:BX34"/>
    <mergeCell ref="BY30:BY34"/>
    <mergeCell ref="BZ30:BZ34"/>
    <mergeCell ref="CA30:CA34"/>
    <mergeCell ref="CB30:CB34"/>
    <mergeCell ref="CC30:CC34"/>
    <mergeCell ref="CD30:CD34"/>
    <mergeCell ref="CE30:CE34"/>
    <mergeCell ref="CF30:CF34"/>
    <mergeCell ref="CG30:CG34"/>
    <mergeCell ref="CH30:CH34"/>
    <mergeCell ref="CP30:CP34"/>
    <mergeCell ref="CQ30:CQ34"/>
    <mergeCell ref="CR30:CR34"/>
    <mergeCell ref="CS30:CS34"/>
    <mergeCell ref="CT30:CT34"/>
    <mergeCell ref="CU30:CU34"/>
    <mergeCell ref="CI30:CI34"/>
    <mergeCell ref="CJ30:CJ34"/>
    <mergeCell ref="CK30:CK34"/>
    <mergeCell ref="CL30:CL34"/>
    <mergeCell ref="CM30:CM34"/>
    <mergeCell ref="CN30:CN34"/>
    <mergeCell ref="CO30:CO34"/>
    <mergeCell ref="Q30:Q34"/>
    <mergeCell ref="R30:R34"/>
    <mergeCell ref="S30:S34"/>
    <mergeCell ref="T30:T34"/>
    <mergeCell ref="U30:U34"/>
    <mergeCell ref="V30:V34"/>
    <mergeCell ref="W30:W34"/>
    <mergeCell ref="X30:X34"/>
    <mergeCell ref="Y30:Y34"/>
    <mergeCell ref="Z30:Z34"/>
    <mergeCell ref="AA30:AA34"/>
    <mergeCell ref="AB30:AB34"/>
    <mergeCell ref="AC30:AC34"/>
    <mergeCell ref="AD30:AD34"/>
    <mergeCell ref="AE30:AE34"/>
    <mergeCell ref="AF30:AF34"/>
    <mergeCell ref="AG30:AG34"/>
    <mergeCell ref="AH30:AH34"/>
    <mergeCell ref="AI30:AI34"/>
    <mergeCell ref="AJ30:AJ34"/>
    <mergeCell ref="AK30:AK34"/>
    <mergeCell ref="AL30:AL34"/>
    <mergeCell ref="AM30:AM34"/>
    <mergeCell ref="AN30:AN34"/>
    <mergeCell ref="AO30:AO34"/>
    <mergeCell ref="AP30:AP34"/>
    <mergeCell ref="AQ30:AQ34"/>
    <mergeCell ref="AR30:AR34"/>
    <mergeCell ref="AS30:AS34"/>
    <mergeCell ref="AT30:AT34"/>
    <mergeCell ref="AU30:AU34"/>
    <mergeCell ref="AV30:AV34"/>
    <mergeCell ref="AW30:AW34"/>
    <mergeCell ref="AX30:AX34"/>
    <mergeCell ref="AY30:AY34"/>
    <mergeCell ref="AZ30:AZ34"/>
    <mergeCell ref="BA30:BA34"/>
    <mergeCell ref="BB30:BB34"/>
    <mergeCell ref="BC30:BC34"/>
    <mergeCell ref="BD30:BD34"/>
    <mergeCell ref="BE30:BE34"/>
    <mergeCell ref="BF30:BF34"/>
    <mergeCell ref="BG30:BG34"/>
    <mergeCell ref="BH30:BH34"/>
    <mergeCell ref="BI30:BI34"/>
    <mergeCell ref="BJ30:BJ34"/>
    <mergeCell ref="BK30:BK34"/>
    <mergeCell ref="BL30:BL34"/>
    <mergeCell ref="BM30:BM34"/>
    <mergeCell ref="A570:A575"/>
    <mergeCell ref="A576:A577"/>
    <mergeCell ref="A581:A586"/>
    <mergeCell ref="A587:A590"/>
    <mergeCell ref="A591:A605"/>
    <mergeCell ref="A606:A632"/>
    <mergeCell ref="A633:A638"/>
    <mergeCell ref="A639:A640"/>
    <mergeCell ref="A644:A649"/>
    <mergeCell ref="A650:A653"/>
    <mergeCell ref="A654:A668"/>
    <mergeCell ref="A669:A695"/>
    <mergeCell ref="A696:A701"/>
    <mergeCell ref="A702:A703"/>
    <mergeCell ref="B718:B731"/>
    <mergeCell ref="B732:B753"/>
    <mergeCell ref="C732:C742"/>
    <mergeCell ref="B754:B758"/>
    <mergeCell ref="C754:C758"/>
    <mergeCell ref="B759:B761"/>
    <mergeCell ref="A768:C768"/>
    <mergeCell ref="B762:B764"/>
    <mergeCell ref="B770:B773"/>
    <mergeCell ref="B774:B775"/>
    <mergeCell ref="B776:B779"/>
    <mergeCell ref="B781:B794"/>
    <mergeCell ref="B795:B815"/>
    <mergeCell ref="C795:C805"/>
    <mergeCell ref="B838:B841"/>
    <mergeCell ref="B843:B856"/>
    <mergeCell ref="B857:B878"/>
    <mergeCell ref="C857:C867"/>
    <mergeCell ref="B879:B883"/>
    <mergeCell ref="C879:C883"/>
    <mergeCell ref="B884:B886"/>
    <mergeCell ref="B887:B889"/>
    <mergeCell ref="B816:B820"/>
    <mergeCell ref="C816:C820"/>
    <mergeCell ref="B821:B823"/>
    <mergeCell ref="B824:B826"/>
    <mergeCell ref="A830:C830"/>
    <mergeCell ref="B832:B835"/>
    <mergeCell ref="B836:B837"/>
    <mergeCell ref="A842:A856"/>
    <mergeCell ref="A857:A883"/>
    <mergeCell ref="A884:A889"/>
    <mergeCell ref="A890:A891"/>
    <mergeCell ref="A776:A779"/>
    <mergeCell ref="A780:A794"/>
    <mergeCell ref="A795:A820"/>
    <mergeCell ref="A821:A826"/>
    <mergeCell ref="A827:A828"/>
    <mergeCell ref="A832:A837"/>
    <mergeCell ref="A838:A841"/>
    <mergeCell ref="A129:A134"/>
    <mergeCell ref="A135:A136"/>
    <mergeCell ref="A140:A145"/>
    <mergeCell ref="A146:A149"/>
    <mergeCell ref="A150:A164"/>
    <mergeCell ref="A165:A191"/>
    <mergeCell ref="A192:A197"/>
    <mergeCell ref="A198:A199"/>
    <mergeCell ref="A203:A208"/>
    <mergeCell ref="A209:A212"/>
    <mergeCell ref="A213:A227"/>
    <mergeCell ref="A228:A254"/>
    <mergeCell ref="A255:A260"/>
    <mergeCell ref="A261:A262"/>
    <mergeCell ref="A266:A271"/>
    <mergeCell ref="A272:A275"/>
    <mergeCell ref="A276:A290"/>
    <mergeCell ref="A291:A317"/>
    <mergeCell ref="A318:A323"/>
    <mergeCell ref="A324:A325"/>
    <mergeCell ref="A329:A334"/>
    <mergeCell ref="A335:A338"/>
    <mergeCell ref="A339:A353"/>
    <mergeCell ref="A354:A380"/>
    <mergeCell ref="A381:A386"/>
    <mergeCell ref="A387:A388"/>
    <mergeCell ref="A392:A397"/>
    <mergeCell ref="A398:A401"/>
    <mergeCell ref="A402:A416"/>
    <mergeCell ref="A417:A443"/>
    <mergeCell ref="A444:A449"/>
    <mergeCell ref="A450:A451"/>
    <mergeCell ref="A455:A460"/>
    <mergeCell ref="A461:A464"/>
    <mergeCell ref="A465:A479"/>
    <mergeCell ref="A480:A506"/>
    <mergeCell ref="A507:A512"/>
    <mergeCell ref="A513:A514"/>
    <mergeCell ref="A518:A523"/>
    <mergeCell ref="A524:A527"/>
    <mergeCell ref="A528:A542"/>
    <mergeCell ref="A543:A569"/>
    <mergeCell ref="A707:A712"/>
    <mergeCell ref="A713:A716"/>
    <mergeCell ref="A717:A731"/>
    <mergeCell ref="A732:A758"/>
    <mergeCell ref="A759:A764"/>
    <mergeCell ref="A765:A766"/>
    <mergeCell ref="A770:A775"/>
    <mergeCell ref="H18:H28"/>
    <mergeCell ref="I18:I29"/>
    <mergeCell ref="J18:J28"/>
    <mergeCell ref="K18:K28"/>
    <mergeCell ref="O14:O17"/>
    <mergeCell ref="O18:O29"/>
    <mergeCell ref="P18:P28"/>
    <mergeCell ref="Q18:Q28"/>
    <mergeCell ref="B18:B29"/>
    <mergeCell ref="B30:B34"/>
    <mergeCell ref="C30:C34"/>
    <mergeCell ref="D30:D34"/>
    <mergeCell ref="E30:E34"/>
    <mergeCell ref="F30:F34"/>
    <mergeCell ref="AD35:AD36"/>
    <mergeCell ref="AG35:AG36"/>
    <mergeCell ref="AJ35:AJ36"/>
    <mergeCell ref="AM35:AM36"/>
    <mergeCell ref="AP35:AP36"/>
    <mergeCell ref="AS35:AS36"/>
    <mergeCell ref="AV35:AV36"/>
    <mergeCell ref="AY35:AY36"/>
    <mergeCell ref="BB35:BB36"/>
    <mergeCell ref="BE35:BE36"/>
    <mergeCell ref="BH35:BH36"/>
    <mergeCell ref="BK35:BK36"/>
    <mergeCell ref="BN35:BN36"/>
    <mergeCell ref="BQ35:BQ36"/>
    <mergeCell ref="CO35:CO36"/>
    <mergeCell ref="CR35:CR36"/>
    <mergeCell ref="CU35:CU36"/>
    <mergeCell ref="BT35:BT36"/>
    <mergeCell ref="BW35:BW36"/>
    <mergeCell ref="BZ35:BZ36"/>
    <mergeCell ref="CC35:CC36"/>
    <mergeCell ref="CF35:CF36"/>
    <mergeCell ref="CI35:CI36"/>
    <mergeCell ref="CL35:CL36"/>
    <mergeCell ref="AD37:AD39"/>
    <mergeCell ref="AG37:AG39"/>
    <mergeCell ref="AJ37:AJ39"/>
    <mergeCell ref="AM37:AM39"/>
    <mergeCell ref="AP37:AP39"/>
    <mergeCell ref="AS37:AS39"/>
    <mergeCell ref="AV37:AV39"/>
    <mergeCell ref="AY37:AY39"/>
    <mergeCell ref="BB37:BB39"/>
    <mergeCell ref="BE37:BE39"/>
    <mergeCell ref="BH37:BH39"/>
    <mergeCell ref="BK37:BK39"/>
    <mergeCell ref="BN37:BN39"/>
    <mergeCell ref="BQ37:BQ39"/>
    <mergeCell ref="CO37:CO39"/>
    <mergeCell ref="CR37:CR39"/>
    <mergeCell ref="CU37:CU39"/>
    <mergeCell ref="BT37:BT39"/>
    <mergeCell ref="BW37:BW39"/>
    <mergeCell ref="BZ37:BZ39"/>
    <mergeCell ref="CC37:CC39"/>
    <mergeCell ref="CF37:CF39"/>
    <mergeCell ref="CI37:CI39"/>
    <mergeCell ref="CL37:CL39"/>
    <mergeCell ref="L18:L29"/>
    <mergeCell ref="M18:M28"/>
    <mergeCell ref="I30:I34"/>
    <mergeCell ref="J30:J34"/>
    <mergeCell ref="I35:I36"/>
    <mergeCell ref="I37:I39"/>
    <mergeCell ref="K30:K34"/>
    <mergeCell ref="L30:L34"/>
    <mergeCell ref="L35:L36"/>
    <mergeCell ref="L37:L39"/>
    <mergeCell ref="R14:R17"/>
    <mergeCell ref="A18:A34"/>
    <mergeCell ref="C18:C28"/>
    <mergeCell ref="D18:D28"/>
    <mergeCell ref="E18:E28"/>
    <mergeCell ref="N18:N28"/>
    <mergeCell ref="R18:R29"/>
    <mergeCell ref="O30:O34"/>
    <mergeCell ref="P30:P34"/>
    <mergeCell ref="O35:O36"/>
    <mergeCell ref="R35:R36"/>
    <mergeCell ref="U35:U36"/>
    <mergeCell ref="X35:X36"/>
    <mergeCell ref="AA35:AA36"/>
    <mergeCell ref="M30:M34"/>
    <mergeCell ref="N30:N34"/>
    <mergeCell ref="O37:O39"/>
    <mergeCell ref="R37:R39"/>
    <mergeCell ref="U37:U39"/>
    <mergeCell ref="X37:X39"/>
    <mergeCell ref="AA37:AA39"/>
    <mergeCell ref="G30:G34"/>
    <mergeCell ref="H30:H34"/>
    <mergeCell ref="A35:A39"/>
    <mergeCell ref="B35:B36"/>
    <mergeCell ref="F35:F36"/>
    <mergeCell ref="B37:B39"/>
    <mergeCell ref="F37:F39"/>
    <mergeCell ref="B60:B70"/>
    <mergeCell ref="C60:C64"/>
    <mergeCell ref="B71:B72"/>
    <mergeCell ref="C71:C72"/>
    <mergeCell ref="A40:A41"/>
    <mergeCell ref="A44:C44"/>
    <mergeCell ref="A49:A50"/>
    <mergeCell ref="B49:B50"/>
    <mergeCell ref="A52:A59"/>
    <mergeCell ref="B53:B59"/>
    <mergeCell ref="A60:A72"/>
    <mergeCell ref="A73:A75"/>
    <mergeCell ref="B73:B74"/>
    <mergeCell ref="A79:A82"/>
    <mergeCell ref="B79:B80"/>
    <mergeCell ref="B81:B82"/>
    <mergeCell ref="A83:A86"/>
    <mergeCell ref="B83:B86"/>
    <mergeCell ref="A87:A101"/>
    <mergeCell ref="B88:B101"/>
    <mergeCell ref="A102:A128"/>
    <mergeCell ref="B102:B123"/>
    <mergeCell ref="C102:C112"/>
    <mergeCell ref="C124:C128"/>
    <mergeCell ref="B132:B134"/>
    <mergeCell ref="A138:C138"/>
    <mergeCell ref="B124:B128"/>
    <mergeCell ref="B129:B131"/>
    <mergeCell ref="B140:B143"/>
    <mergeCell ref="B144:B145"/>
    <mergeCell ref="B146:B149"/>
    <mergeCell ref="B151:B164"/>
    <mergeCell ref="C165:C175"/>
    <mergeCell ref="B165:B186"/>
    <mergeCell ref="B187:B191"/>
    <mergeCell ref="C187:C191"/>
    <mergeCell ref="B192:B194"/>
    <mergeCell ref="B195:B197"/>
    <mergeCell ref="A201:C201"/>
    <mergeCell ref="B203:B206"/>
    <mergeCell ref="B502:B506"/>
    <mergeCell ref="C502:C506"/>
    <mergeCell ref="B507:B509"/>
    <mergeCell ref="B510:B512"/>
    <mergeCell ref="A516:C516"/>
    <mergeCell ref="B518:B521"/>
    <mergeCell ref="B522:B523"/>
    <mergeCell ref="B524:B527"/>
    <mergeCell ref="B529:B542"/>
    <mergeCell ref="B543:B564"/>
    <mergeCell ref="C543:C553"/>
    <mergeCell ref="B565:B569"/>
    <mergeCell ref="C565:C569"/>
    <mergeCell ref="B570:B572"/>
    <mergeCell ref="B573:B575"/>
    <mergeCell ref="A579:C579"/>
    <mergeCell ref="B581:B584"/>
    <mergeCell ref="B585:B586"/>
    <mergeCell ref="B587:B590"/>
    <mergeCell ref="B592:B605"/>
    <mergeCell ref="C606:C616"/>
    <mergeCell ref="B606:B627"/>
    <mergeCell ref="B628:B632"/>
    <mergeCell ref="C628:C632"/>
    <mergeCell ref="B633:B635"/>
    <mergeCell ref="B636:B638"/>
    <mergeCell ref="A642:C642"/>
    <mergeCell ref="B644:B647"/>
    <mergeCell ref="B696:B698"/>
    <mergeCell ref="B699:B701"/>
    <mergeCell ref="A705:C705"/>
    <mergeCell ref="B707:B710"/>
    <mergeCell ref="B711:B712"/>
    <mergeCell ref="B713:B716"/>
    <mergeCell ref="B648:B649"/>
    <mergeCell ref="B650:B653"/>
    <mergeCell ref="B655:B668"/>
    <mergeCell ref="B669:B690"/>
    <mergeCell ref="C669:C679"/>
    <mergeCell ref="B691:B695"/>
    <mergeCell ref="C691:C695"/>
    <mergeCell ref="B207:B208"/>
    <mergeCell ref="B209:B212"/>
    <mergeCell ref="B214:B227"/>
    <mergeCell ref="B228:B249"/>
    <mergeCell ref="C228:C238"/>
    <mergeCell ref="B250:B254"/>
    <mergeCell ref="C250:C254"/>
    <mergeCell ref="B255:B257"/>
    <mergeCell ref="B258:B260"/>
    <mergeCell ref="A264:C264"/>
    <mergeCell ref="B266:B269"/>
    <mergeCell ref="B270:B271"/>
    <mergeCell ref="B272:B275"/>
    <mergeCell ref="B277:B290"/>
    <mergeCell ref="B291:B312"/>
    <mergeCell ref="C291:C301"/>
    <mergeCell ref="B313:B317"/>
    <mergeCell ref="C313:C317"/>
    <mergeCell ref="B318:B320"/>
    <mergeCell ref="B321:B323"/>
    <mergeCell ref="A327:C327"/>
    <mergeCell ref="B329:B332"/>
    <mergeCell ref="B333:B334"/>
    <mergeCell ref="B335:B338"/>
    <mergeCell ref="B340:B353"/>
    <mergeCell ref="B354:B375"/>
    <mergeCell ref="C354:C364"/>
    <mergeCell ref="C376:C380"/>
    <mergeCell ref="B376:B380"/>
    <mergeCell ref="B381:B383"/>
    <mergeCell ref="B384:B386"/>
    <mergeCell ref="A390:C390"/>
    <mergeCell ref="B392:B395"/>
    <mergeCell ref="B396:B397"/>
    <mergeCell ref="B398:B401"/>
    <mergeCell ref="B403:B416"/>
    <mergeCell ref="B417:B438"/>
    <mergeCell ref="C417:C427"/>
    <mergeCell ref="B439:B443"/>
    <mergeCell ref="C439:C443"/>
    <mergeCell ref="B444:B446"/>
    <mergeCell ref="A453:C453"/>
    <mergeCell ref="B447:B449"/>
    <mergeCell ref="B455:B458"/>
    <mergeCell ref="B459:B460"/>
    <mergeCell ref="B461:B464"/>
    <mergeCell ref="B466:B479"/>
    <mergeCell ref="B480:B501"/>
    <mergeCell ref="C480:C49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3.0"/>
    <col customWidth="1" min="3" max="3" width="11.63"/>
    <col customWidth="1" min="4" max="4" width="14.63"/>
    <col customWidth="1" min="5" max="5" width="13.38"/>
    <col customWidth="1" min="6" max="6" width="13.25"/>
    <col customWidth="1" min="7" max="7" width="13.38"/>
    <col customWidth="1" min="8" max="8" width="12.38"/>
    <col customWidth="1" min="9" max="10" width="13.0"/>
    <col customWidth="1" min="11" max="11" width="12.75"/>
    <col customWidth="1" min="12" max="12" width="13.13"/>
    <col customWidth="1" min="13" max="13" width="10.25"/>
  </cols>
  <sheetData>
    <row r="1">
      <c r="A1" s="74" t="s">
        <v>675</v>
      </c>
      <c r="B1" s="75" t="s">
        <v>676</v>
      </c>
      <c r="C1" s="28"/>
      <c r="D1" s="76" t="s">
        <v>677</v>
      </c>
      <c r="E1" s="75" t="s">
        <v>678</v>
      </c>
      <c r="F1" s="28"/>
      <c r="G1" s="75" t="s">
        <v>679</v>
      </c>
      <c r="H1" s="28"/>
      <c r="I1" s="75" t="s">
        <v>680</v>
      </c>
      <c r="J1" s="28"/>
      <c r="K1" s="75" t="s">
        <v>681</v>
      </c>
      <c r="L1" s="28"/>
      <c r="M1" s="77" t="s">
        <v>682</v>
      </c>
    </row>
    <row r="2">
      <c r="A2" s="14"/>
      <c r="B2" s="78" t="s">
        <v>683</v>
      </c>
      <c r="C2" s="79" t="s">
        <v>684</v>
      </c>
      <c r="D2" s="80" t="s">
        <v>683</v>
      </c>
      <c r="E2" s="80" t="s">
        <v>683</v>
      </c>
      <c r="F2" s="80" t="s">
        <v>684</v>
      </c>
      <c r="G2" s="80" t="s">
        <v>683</v>
      </c>
      <c r="H2" s="80" t="s">
        <v>684</v>
      </c>
      <c r="I2" s="80" t="s">
        <v>683</v>
      </c>
      <c r="J2" s="80" t="s">
        <v>684</v>
      </c>
      <c r="K2" s="80" t="s">
        <v>683</v>
      </c>
      <c r="L2" s="80" t="s">
        <v>684</v>
      </c>
      <c r="M2" s="81"/>
    </row>
    <row r="3">
      <c r="A3" s="82" t="s">
        <v>104</v>
      </c>
      <c r="B3" s="83">
        <v>100.0</v>
      </c>
      <c r="C3" s="83">
        <v>0.0</v>
      </c>
      <c r="D3" s="83">
        <v>50.0</v>
      </c>
      <c r="E3" s="83">
        <v>100.0</v>
      </c>
      <c r="F3" s="83">
        <v>25.0</v>
      </c>
      <c r="G3" s="83">
        <v>50.0</v>
      </c>
      <c r="H3" s="83">
        <v>0.0</v>
      </c>
      <c r="I3" s="83">
        <v>100.0</v>
      </c>
      <c r="J3" s="83">
        <v>0.0</v>
      </c>
      <c r="K3" s="83">
        <v>0.0</v>
      </c>
      <c r="L3" s="83">
        <v>100.0</v>
      </c>
      <c r="M3" s="84">
        <f t="shared" ref="M3:M34" si="1">round(AVERAGE(B3:L3),2)</f>
        <v>47.73</v>
      </c>
    </row>
    <row r="4">
      <c r="A4" s="82" t="s">
        <v>105</v>
      </c>
      <c r="B4" s="83">
        <v>100.0</v>
      </c>
      <c r="C4" s="83">
        <v>50.0</v>
      </c>
      <c r="D4" s="83">
        <v>50.0</v>
      </c>
      <c r="E4" s="83">
        <v>0.0</v>
      </c>
      <c r="F4" s="83">
        <v>25.0</v>
      </c>
      <c r="G4" s="83">
        <v>0.0</v>
      </c>
      <c r="H4" s="83">
        <v>0.0</v>
      </c>
      <c r="I4" s="83">
        <v>100.0</v>
      </c>
      <c r="J4" s="83">
        <v>0.0</v>
      </c>
      <c r="K4" s="83">
        <v>0.0</v>
      </c>
      <c r="L4" s="83">
        <v>100.0</v>
      </c>
      <c r="M4" s="84">
        <f t="shared" si="1"/>
        <v>38.64</v>
      </c>
    </row>
    <row r="5">
      <c r="A5" s="85" t="s">
        <v>106</v>
      </c>
      <c r="B5" s="83">
        <v>100.0</v>
      </c>
      <c r="C5" s="83">
        <v>50.0</v>
      </c>
      <c r="D5" s="83">
        <v>50.0</v>
      </c>
      <c r="E5" s="83">
        <v>0.0</v>
      </c>
      <c r="F5" s="83">
        <v>50.0</v>
      </c>
      <c r="G5" s="83">
        <v>0.0</v>
      </c>
      <c r="H5" s="83">
        <v>0.0</v>
      </c>
      <c r="I5" s="83">
        <v>50.0</v>
      </c>
      <c r="J5" s="83">
        <v>0.0</v>
      </c>
      <c r="K5" s="83">
        <v>0.0</v>
      </c>
      <c r="L5" s="83">
        <v>100.0</v>
      </c>
      <c r="M5" s="84">
        <f t="shared" si="1"/>
        <v>36.36</v>
      </c>
    </row>
    <row r="6">
      <c r="A6" s="82" t="s">
        <v>107</v>
      </c>
      <c r="B6" s="83">
        <v>100.0</v>
      </c>
      <c r="C6" s="83">
        <v>50.0</v>
      </c>
      <c r="D6" s="83">
        <v>50.0</v>
      </c>
      <c r="E6" s="83">
        <v>100.0</v>
      </c>
      <c r="F6" s="83">
        <v>25.0</v>
      </c>
      <c r="G6" s="83">
        <v>0.0</v>
      </c>
      <c r="H6" s="83">
        <v>0.0</v>
      </c>
      <c r="I6" s="83">
        <v>50.0</v>
      </c>
      <c r="J6" s="83">
        <v>0.0</v>
      </c>
      <c r="K6" s="83">
        <v>0.0</v>
      </c>
      <c r="L6" s="83">
        <v>100.0</v>
      </c>
      <c r="M6" s="84">
        <f t="shared" si="1"/>
        <v>43.18</v>
      </c>
    </row>
    <row r="7">
      <c r="A7" s="82" t="s">
        <v>108</v>
      </c>
      <c r="B7" s="83">
        <v>100.0</v>
      </c>
      <c r="C7" s="83">
        <v>50.0</v>
      </c>
      <c r="D7" s="83">
        <v>50.0</v>
      </c>
      <c r="E7" s="83">
        <v>0.0</v>
      </c>
      <c r="F7" s="83">
        <v>25.0</v>
      </c>
      <c r="G7" s="83">
        <v>50.0</v>
      </c>
      <c r="H7" s="83">
        <v>0.0</v>
      </c>
      <c r="I7" s="83">
        <v>100.0</v>
      </c>
      <c r="J7" s="83">
        <v>0.0</v>
      </c>
      <c r="K7" s="83">
        <v>0.0</v>
      </c>
      <c r="L7" s="83">
        <v>100.0</v>
      </c>
      <c r="M7" s="84">
        <f t="shared" si="1"/>
        <v>43.18</v>
      </c>
    </row>
    <row r="8">
      <c r="A8" s="82" t="s">
        <v>685</v>
      </c>
      <c r="B8" s="83">
        <v>100.0</v>
      </c>
      <c r="C8" s="83">
        <v>50.0</v>
      </c>
      <c r="D8" s="83">
        <v>50.0</v>
      </c>
      <c r="E8" s="83">
        <v>0.0</v>
      </c>
      <c r="F8" s="83">
        <v>50.0</v>
      </c>
      <c r="G8" s="83">
        <v>50.0</v>
      </c>
      <c r="H8" s="83">
        <v>0.0</v>
      </c>
      <c r="I8" s="83">
        <v>100.0</v>
      </c>
      <c r="J8" s="83">
        <v>0.0</v>
      </c>
      <c r="K8" s="83">
        <v>0.0</v>
      </c>
      <c r="L8" s="83">
        <v>100.0</v>
      </c>
      <c r="M8" s="84">
        <f t="shared" si="1"/>
        <v>45.45</v>
      </c>
    </row>
    <row r="9">
      <c r="A9" s="85" t="s">
        <v>110</v>
      </c>
      <c r="B9" s="83">
        <v>100.0</v>
      </c>
      <c r="C9" s="83">
        <v>0.0</v>
      </c>
      <c r="D9" s="83">
        <v>50.0</v>
      </c>
      <c r="E9" s="83">
        <v>0.0</v>
      </c>
      <c r="F9" s="83">
        <v>25.0</v>
      </c>
      <c r="G9" s="83">
        <v>0.0</v>
      </c>
      <c r="H9" s="83">
        <v>0.0</v>
      </c>
      <c r="I9" s="83">
        <v>50.0</v>
      </c>
      <c r="J9" s="83">
        <v>0.0</v>
      </c>
      <c r="K9" s="86">
        <v>0.0</v>
      </c>
      <c r="L9" s="83">
        <v>100.0</v>
      </c>
      <c r="M9" s="84">
        <f t="shared" si="1"/>
        <v>29.55</v>
      </c>
    </row>
    <row r="10">
      <c r="A10" s="82" t="s">
        <v>111</v>
      </c>
      <c r="B10" s="83">
        <v>100.0</v>
      </c>
      <c r="C10" s="83">
        <v>0.0</v>
      </c>
      <c r="D10" s="83">
        <v>50.0</v>
      </c>
      <c r="E10" s="83">
        <v>0.0</v>
      </c>
      <c r="F10" s="83">
        <v>25.0</v>
      </c>
      <c r="G10" s="83">
        <v>50.0</v>
      </c>
      <c r="H10" s="83">
        <v>0.0</v>
      </c>
      <c r="I10" s="83">
        <v>100.0</v>
      </c>
      <c r="J10" s="83">
        <v>0.0</v>
      </c>
      <c r="K10" s="83">
        <v>0.0</v>
      </c>
      <c r="L10" s="83">
        <v>100.0</v>
      </c>
      <c r="M10" s="84">
        <f t="shared" si="1"/>
        <v>38.64</v>
      </c>
    </row>
    <row r="11">
      <c r="A11" s="82" t="s">
        <v>112</v>
      </c>
      <c r="B11" s="83">
        <v>100.0</v>
      </c>
      <c r="C11" s="83">
        <v>0.0</v>
      </c>
      <c r="D11" s="83">
        <v>50.0</v>
      </c>
      <c r="E11" s="83">
        <v>100.0</v>
      </c>
      <c r="F11" s="83">
        <v>25.0</v>
      </c>
      <c r="G11" s="83">
        <v>0.0</v>
      </c>
      <c r="H11" s="83">
        <v>0.0</v>
      </c>
      <c r="I11" s="83">
        <v>50.0</v>
      </c>
      <c r="J11" s="83">
        <v>0.0</v>
      </c>
      <c r="K11" s="83">
        <v>0.0</v>
      </c>
      <c r="L11" s="83">
        <v>100.0</v>
      </c>
      <c r="M11" s="84">
        <f t="shared" si="1"/>
        <v>38.64</v>
      </c>
    </row>
    <row r="12">
      <c r="A12" s="82" t="s">
        <v>113</v>
      </c>
      <c r="B12" s="83">
        <v>100.0</v>
      </c>
      <c r="C12" s="83">
        <v>50.0</v>
      </c>
      <c r="D12" s="83">
        <v>50.0</v>
      </c>
      <c r="E12" s="83">
        <v>0.0</v>
      </c>
      <c r="F12" s="83">
        <v>25.0</v>
      </c>
      <c r="G12" s="52">
        <v>50.0</v>
      </c>
      <c r="H12" s="83">
        <v>0.0</v>
      </c>
      <c r="I12" s="83">
        <v>100.0</v>
      </c>
      <c r="J12" s="83">
        <v>0.0</v>
      </c>
      <c r="K12" s="83">
        <v>0.0</v>
      </c>
      <c r="L12" s="83">
        <v>100.0</v>
      </c>
      <c r="M12" s="84">
        <f t="shared" si="1"/>
        <v>43.18</v>
      </c>
    </row>
    <row r="13">
      <c r="A13" s="85" t="s">
        <v>114</v>
      </c>
      <c r="B13" s="79">
        <v>100.0</v>
      </c>
      <c r="C13" s="79">
        <v>0.0</v>
      </c>
      <c r="D13" s="79">
        <v>50.0</v>
      </c>
      <c r="E13" s="79">
        <v>0.0</v>
      </c>
      <c r="F13" s="79">
        <v>25.0</v>
      </c>
      <c r="G13" s="79">
        <v>50.0</v>
      </c>
      <c r="H13" s="79">
        <v>0.0</v>
      </c>
      <c r="I13" s="79">
        <v>100.0</v>
      </c>
      <c r="J13" s="83">
        <v>0.0</v>
      </c>
      <c r="K13" s="79">
        <v>0.0</v>
      </c>
      <c r="L13" s="83">
        <v>100.0</v>
      </c>
      <c r="M13" s="84">
        <f t="shared" si="1"/>
        <v>38.64</v>
      </c>
    </row>
    <row r="14">
      <c r="A14" s="82" t="s">
        <v>115</v>
      </c>
      <c r="B14" s="83">
        <v>100.0</v>
      </c>
      <c r="C14" s="83">
        <v>50.0</v>
      </c>
      <c r="D14" s="83">
        <v>50.0</v>
      </c>
      <c r="E14" s="83">
        <v>100.0</v>
      </c>
      <c r="F14" s="83">
        <v>25.0</v>
      </c>
      <c r="G14" s="52">
        <v>50.0</v>
      </c>
      <c r="H14" s="83">
        <v>0.0</v>
      </c>
      <c r="I14" s="83">
        <v>100.0</v>
      </c>
      <c r="J14" s="83">
        <v>0.0</v>
      </c>
      <c r="K14" s="83">
        <v>0.0</v>
      </c>
      <c r="L14" s="83">
        <v>100.0</v>
      </c>
      <c r="M14" s="84">
        <f t="shared" si="1"/>
        <v>52.27</v>
      </c>
    </row>
    <row r="15">
      <c r="A15" s="82" t="s">
        <v>116</v>
      </c>
      <c r="B15" s="83">
        <v>100.0</v>
      </c>
      <c r="C15" s="83">
        <v>0.0</v>
      </c>
      <c r="D15" s="83">
        <v>50.0</v>
      </c>
      <c r="E15" s="83">
        <v>0.0</v>
      </c>
      <c r="F15" s="83">
        <v>25.0</v>
      </c>
      <c r="G15" s="83">
        <v>50.0</v>
      </c>
      <c r="H15" s="83">
        <v>0.0</v>
      </c>
      <c r="I15" s="83">
        <v>100.0</v>
      </c>
      <c r="J15" s="83">
        <v>0.0</v>
      </c>
      <c r="K15" s="83">
        <v>0.0</v>
      </c>
      <c r="L15" s="83">
        <v>100.0</v>
      </c>
      <c r="M15" s="84">
        <f t="shared" si="1"/>
        <v>38.64</v>
      </c>
    </row>
    <row r="16">
      <c r="A16" s="82" t="s">
        <v>117</v>
      </c>
      <c r="B16" s="83">
        <v>100.0</v>
      </c>
      <c r="C16" s="83">
        <v>50.0</v>
      </c>
      <c r="D16" s="83">
        <v>75.0</v>
      </c>
      <c r="E16" s="83">
        <v>100.0</v>
      </c>
      <c r="F16" s="83">
        <v>25.0</v>
      </c>
      <c r="G16" s="83">
        <v>100.0</v>
      </c>
      <c r="H16" s="83">
        <v>0.0</v>
      </c>
      <c r="I16" s="83">
        <v>100.0</v>
      </c>
      <c r="J16" s="83">
        <v>0.0</v>
      </c>
      <c r="K16" s="83">
        <v>0.0</v>
      </c>
      <c r="L16" s="83">
        <v>100.0</v>
      </c>
      <c r="M16" s="84">
        <f t="shared" si="1"/>
        <v>59.09</v>
      </c>
    </row>
    <row r="17">
      <c r="A17" s="85" t="s">
        <v>118</v>
      </c>
      <c r="B17" s="83">
        <v>100.0</v>
      </c>
      <c r="C17" s="83">
        <v>0.0</v>
      </c>
      <c r="D17" s="83">
        <v>50.0</v>
      </c>
      <c r="E17" s="83">
        <v>0.0</v>
      </c>
      <c r="F17" s="83">
        <v>25.0</v>
      </c>
      <c r="G17" s="83">
        <v>50.0</v>
      </c>
      <c r="H17" s="83">
        <v>0.0</v>
      </c>
      <c r="I17" s="83">
        <v>100.0</v>
      </c>
      <c r="J17" s="83">
        <v>0.0</v>
      </c>
      <c r="K17" s="83">
        <v>0.0</v>
      </c>
      <c r="L17" s="83">
        <v>100.0</v>
      </c>
      <c r="M17" s="84">
        <f t="shared" si="1"/>
        <v>38.64</v>
      </c>
    </row>
    <row r="18">
      <c r="A18" s="82" t="s">
        <v>119</v>
      </c>
      <c r="B18" s="83">
        <v>100.0</v>
      </c>
      <c r="C18" s="83">
        <v>50.0</v>
      </c>
      <c r="D18" s="83">
        <v>75.0</v>
      </c>
      <c r="E18" s="83">
        <v>100.0</v>
      </c>
      <c r="F18" s="83">
        <v>25.0</v>
      </c>
      <c r="G18" s="83">
        <v>50.0</v>
      </c>
      <c r="H18" s="83">
        <v>0.0</v>
      </c>
      <c r="I18" s="83">
        <v>100.0</v>
      </c>
      <c r="J18" s="83">
        <v>0.0</v>
      </c>
      <c r="K18" s="83">
        <v>0.0</v>
      </c>
      <c r="L18" s="83">
        <v>100.0</v>
      </c>
      <c r="M18" s="84">
        <f t="shared" si="1"/>
        <v>54.55</v>
      </c>
    </row>
    <row r="19">
      <c r="A19" s="85" t="s">
        <v>120</v>
      </c>
      <c r="B19" s="83">
        <v>100.0</v>
      </c>
      <c r="C19" s="83">
        <v>50.0</v>
      </c>
      <c r="D19" s="83">
        <v>75.0</v>
      </c>
      <c r="E19" s="83">
        <v>100.0</v>
      </c>
      <c r="F19" s="83">
        <v>50.0</v>
      </c>
      <c r="G19" s="83">
        <v>50.0</v>
      </c>
      <c r="H19" s="83">
        <v>0.0</v>
      </c>
      <c r="I19" s="83">
        <v>100.0</v>
      </c>
      <c r="J19" s="83">
        <v>0.0</v>
      </c>
      <c r="K19" s="83">
        <v>0.0</v>
      </c>
      <c r="L19" s="83">
        <v>100.0</v>
      </c>
      <c r="M19" s="84">
        <f t="shared" si="1"/>
        <v>56.82</v>
      </c>
    </row>
    <row r="20">
      <c r="A20" s="82" t="s">
        <v>121</v>
      </c>
      <c r="B20" s="83">
        <v>100.0</v>
      </c>
      <c r="C20" s="83">
        <v>50.0</v>
      </c>
      <c r="D20" s="83">
        <v>50.0</v>
      </c>
      <c r="E20" s="83">
        <v>0.0</v>
      </c>
      <c r="F20" s="83">
        <v>50.0</v>
      </c>
      <c r="G20" s="83">
        <v>50.0</v>
      </c>
      <c r="H20" s="83">
        <v>0.0</v>
      </c>
      <c r="I20" s="83">
        <v>100.0</v>
      </c>
      <c r="J20" s="83">
        <v>0.0</v>
      </c>
      <c r="K20" s="83">
        <v>0.0</v>
      </c>
      <c r="L20" s="83">
        <v>100.0</v>
      </c>
      <c r="M20" s="84">
        <f t="shared" si="1"/>
        <v>45.45</v>
      </c>
    </row>
    <row r="21">
      <c r="A21" s="82" t="s">
        <v>122</v>
      </c>
      <c r="B21" s="83">
        <v>100.0</v>
      </c>
      <c r="C21" s="83">
        <v>50.0</v>
      </c>
      <c r="D21" s="83">
        <v>50.0</v>
      </c>
      <c r="E21" s="83">
        <v>0.0</v>
      </c>
      <c r="F21" s="83">
        <v>25.0</v>
      </c>
      <c r="G21" s="83">
        <v>50.0</v>
      </c>
      <c r="H21" s="83">
        <v>0.0</v>
      </c>
      <c r="I21" s="83">
        <v>100.0</v>
      </c>
      <c r="J21" s="83">
        <v>0.0</v>
      </c>
      <c r="K21" s="83">
        <v>0.0</v>
      </c>
      <c r="L21" s="83">
        <v>100.0</v>
      </c>
      <c r="M21" s="84">
        <f t="shared" si="1"/>
        <v>43.18</v>
      </c>
    </row>
    <row r="22">
      <c r="A22" s="82" t="s">
        <v>123</v>
      </c>
      <c r="B22" s="83">
        <v>100.0</v>
      </c>
      <c r="C22" s="83">
        <v>0.0</v>
      </c>
      <c r="D22" s="83">
        <v>50.0</v>
      </c>
      <c r="E22" s="83">
        <v>100.0</v>
      </c>
      <c r="F22" s="83">
        <v>25.0</v>
      </c>
      <c r="G22" s="83">
        <v>0.0</v>
      </c>
      <c r="H22" s="83">
        <v>0.0</v>
      </c>
      <c r="I22" s="83">
        <v>50.0</v>
      </c>
      <c r="J22" s="83">
        <v>0.0</v>
      </c>
      <c r="K22" s="83">
        <v>0.0</v>
      </c>
      <c r="L22" s="83">
        <v>100.0</v>
      </c>
      <c r="M22" s="84">
        <f t="shared" si="1"/>
        <v>38.64</v>
      </c>
    </row>
    <row r="23">
      <c r="A23" s="85" t="s">
        <v>124</v>
      </c>
      <c r="B23" s="83">
        <v>100.0</v>
      </c>
      <c r="C23" s="83">
        <v>0.0</v>
      </c>
      <c r="D23" s="83">
        <v>50.0</v>
      </c>
      <c r="E23" s="83">
        <v>100.0</v>
      </c>
      <c r="F23" s="83">
        <v>25.0</v>
      </c>
      <c r="G23" s="83">
        <v>0.0</v>
      </c>
      <c r="H23" s="83">
        <v>0.0</v>
      </c>
      <c r="I23" s="83">
        <v>50.0</v>
      </c>
      <c r="J23" s="83">
        <v>0.0</v>
      </c>
      <c r="K23" s="83">
        <v>0.0</v>
      </c>
      <c r="L23" s="83">
        <v>100.0</v>
      </c>
      <c r="M23" s="84">
        <f t="shared" si="1"/>
        <v>38.64</v>
      </c>
    </row>
    <row r="24">
      <c r="A24" s="82" t="s">
        <v>125</v>
      </c>
      <c r="B24" s="83">
        <v>100.0</v>
      </c>
      <c r="C24" s="83">
        <v>50.0</v>
      </c>
      <c r="D24" s="83">
        <v>50.0</v>
      </c>
      <c r="E24" s="83">
        <v>100.0</v>
      </c>
      <c r="F24" s="83">
        <v>25.0</v>
      </c>
      <c r="G24" s="83">
        <v>50.0</v>
      </c>
      <c r="H24" s="83">
        <v>0.0</v>
      </c>
      <c r="I24" s="83">
        <v>100.0</v>
      </c>
      <c r="J24" s="83">
        <v>0.0</v>
      </c>
      <c r="K24" s="83">
        <v>0.0</v>
      </c>
      <c r="L24" s="83">
        <v>100.0</v>
      </c>
      <c r="M24" s="84">
        <f t="shared" si="1"/>
        <v>52.27</v>
      </c>
    </row>
    <row r="25">
      <c r="A25" s="82" t="s">
        <v>126</v>
      </c>
      <c r="B25" s="83">
        <v>100.0</v>
      </c>
      <c r="C25" s="83">
        <v>50.0</v>
      </c>
      <c r="D25" s="83">
        <v>50.0</v>
      </c>
      <c r="E25" s="83">
        <v>100.0</v>
      </c>
      <c r="F25" s="83">
        <v>50.0</v>
      </c>
      <c r="G25" s="83">
        <v>50.0</v>
      </c>
      <c r="H25" s="83">
        <v>0.0</v>
      </c>
      <c r="I25" s="83">
        <v>100.0</v>
      </c>
      <c r="J25" s="83">
        <v>0.0</v>
      </c>
      <c r="K25" s="83">
        <v>0.0</v>
      </c>
      <c r="L25" s="83">
        <v>100.0</v>
      </c>
      <c r="M25" s="84">
        <f t="shared" si="1"/>
        <v>54.55</v>
      </c>
    </row>
    <row r="26">
      <c r="A26" s="82" t="s">
        <v>127</v>
      </c>
      <c r="B26" s="83">
        <v>100.0</v>
      </c>
      <c r="C26" s="83">
        <v>0.0</v>
      </c>
      <c r="D26" s="83">
        <v>50.0</v>
      </c>
      <c r="E26" s="83">
        <v>100.0</v>
      </c>
      <c r="F26" s="83">
        <v>25.0</v>
      </c>
      <c r="G26" s="83">
        <v>50.0</v>
      </c>
      <c r="H26" s="83">
        <v>0.0</v>
      </c>
      <c r="I26" s="83">
        <v>100.0</v>
      </c>
      <c r="J26" s="83">
        <v>0.0</v>
      </c>
      <c r="K26" s="83">
        <v>0.0</v>
      </c>
      <c r="L26" s="83">
        <v>100.0</v>
      </c>
      <c r="M26" s="84">
        <f t="shared" si="1"/>
        <v>47.73</v>
      </c>
    </row>
    <row r="27">
      <c r="A27" s="85" t="s">
        <v>128</v>
      </c>
      <c r="B27" s="83">
        <v>100.0</v>
      </c>
      <c r="C27" s="83">
        <v>0.0</v>
      </c>
      <c r="D27" s="83">
        <v>50.0</v>
      </c>
      <c r="E27" s="83">
        <v>0.0</v>
      </c>
      <c r="F27" s="83">
        <v>25.0</v>
      </c>
      <c r="G27" s="83">
        <v>0.0</v>
      </c>
      <c r="H27" s="83">
        <v>0.0</v>
      </c>
      <c r="I27" s="83">
        <v>50.0</v>
      </c>
      <c r="J27" s="83">
        <v>0.0</v>
      </c>
      <c r="K27" s="83">
        <v>0.0</v>
      </c>
      <c r="L27" s="83">
        <v>100.0</v>
      </c>
      <c r="M27" s="84">
        <f t="shared" si="1"/>
        <v>29.55</v>
      </c>
    </row>
    <row r="28">
      <c r="A28" s="82" t="s">
        <v>129</v>
      </c>
      <c r="B28" s="83">
        <v>100.0</v>
      </c>
      <c r="C28" s="83">
        <v>50.0</v>
      </c>
      <c r="D28" s="83">
        <v>50.0</v>
      </c>
      <c r="E28" s="83">
        <v>0.0</v>
      </c>
      <c r="F28" s="83">
        <v>25.0</v>
      </c>
      <c r="G28" s="83">
        <v>50.0</v>
      </c>
      <c r="H28" s="83">
        <v>0.0</v>
      </c>
      <c r="I28" s="83">
        <v>100.0</v>
      </c>
      <c r="J28" s="83">
        <v>0.0</v>
      </c>
      <c r="K28" s="83">
        <v>0.0</v>
      </c>
      <c r="L28" s="83">
        <v>100.0</v>
      </c>
      <c r="M28" s="84">
        <f t="shared" si="1"/>
        <v>43.18</v>
      </c>
    </row>
    <row r="29">
      <c r="A29" s="82" t="s">
        <v>130</v>
      </c>
      <c r="B29" s="83">
        <v>100.0</v>
      </c>
      <c r="C29" s="83">
        <v>50.0</v>
      </c>
      <c r="D29" s="83">
        <v>75.0</v>
      </c>
      <c r="E29" s="83">
        <v>0.0</v>
      </c>
      <c r="F29" s="83">
        <v>25.0</v>
      </c>
      <c r="G29" s="83">
        <v>50.0</v>
      </c>
      <c r="H29" s="83">
        <v>0.0</v>
      </c>
      <c r="I29" s="83">
        <v>50.0</v>
      </c>
      <c r="J29" s="83">
        <v>0.0</v>
      </c>
      <c r="K29" s="83">
        <v>0.0</v>
      </c>
      <c r="L29" s="83">
        <v>100.0</v>
      </c>
      <c r="M29" s="84">
        <f t="shared" si="1"/>
        <v>40.91</v>
      </c>
    </row>
    <row r="30">
      <c r="A30" s="85" t="s">
        <v>686</v>
      </c>
      <c r="B30" s="83">
        <v>100.0</v>
      </c>
      <c r="C30" s="83">
        <v>50.0</v>
      </c>
      <c r="D30" s="83">
        <v>50.0</v>
      </c>
      <c r="E30" s="83">
        <v>0.0</v>
      </c>
      <c r="F30" s="83">
        <v>25.0</v>
      </c>
      <c r="G30" s="83">
        <v>50.0</v>
      </c>
      <c r="H30" s="83">
        <v>0.0</v>
      </c>
      <c r="I30" s="83">
        <v>100.0</v>
      </c>
      <c r="J30" s="83">
        <v>0.0</v>
      </c>
      <c r="K30" s="83">
        <v>0.0</v>
      </c>
      <c r="L30" s="83">
        <v>100.0</v>
      </c>
      <c r="M30" s="84">
        <f t="shared" si="1"/>
        <v>43.18</v>
      </c>
    </row>
    <row r="31">
      <c r="A31" s="82" t="s">
        <v>132</v>
      </c>
      <c r="B31" s="83">
        <v>100.0</v>
      </c>
      <c r="C31" s="83">
        <v>50.0</v>
      </c>
      <c r="D31" s="83">
        <v>50.0</v>
      </c>
      <c r="E31" s="83">
        <v>0.0</v>
      </c>
      <c r="F31" s="83">
        <v>25.0</v>
      </c>
      <c r="G31" s="83">
        <v>50.0</v>
      </c>
      <c r="H31" s="83">
        <v>0.0</v>
      </c>
      <c r="I31" s="83">
        <v>100.0</v>
      </c>
      <c r="J31" s="83">
        <v>0.0</v>
      </c>
      <c r="K31" s="83">
        <v>0.0</v>
      </c>
      <c r="L31" s="83">
        <v>100.0</v>
      </c>
      <c r="M31" s="84">
        <f t="shared" si="1"/>
        <v>43.18</v>
      </c>
    </row>
    <row r="32">
      <c r="A32" s="82" t="s">
        <v>133</v>
      </c>
      <c r="B32" s="83">
        <v>100.0</v>
      </c>
      <c r="C32" s="83">
        <v>0.0</v>
      </c>
      <c r="D32" s="83">
        <v>50.0</v>
      </c>
      <c r="E32" s="83">
        <v>100.0</v>
      </c>
      <c r="F32" s="83">
        <v>25.0</v>
      </c>
      <c r="G32" s="83">
        <v>0.0</v>
      </c>
      <c r="H32" s="83">
        <v>0.0</v>
      </c>
      <c r="I32" s="83">
        <v>100.0</v>
      </c>
      <c r="J32" s="83">
        <v>0.0</v>
      </c>
      <c r="K32" s="83">
        <v>0.0</v>
      </c>
      <c r="L32" s="83">
        <v>100.0</v>
      </c>
      <c r="M32" s="84">
        <f t="shared" si="1"/>
        <v>43.18</v>
      </c>
    </row>
    <row r="33">
      <c r="A33" s="82" t="s">
        <v>134</v>
      </c>
      <c r="B33" s="83">
        <v>100.0</v>
      </c>
      <c r="C33" s="83">
        <v>0.0</v>
      </c>
      <c r="D33" s="83">
        <v>50.0</v>
      </c>
      <c r="E33" s="83">
        <v>100.0</v>
      </c>
      <c r="F33" s="83">
        <v>25.0</v>
      </c>
      <c r="G33" s="83">
        <v>50.0</v>
      </c>
      <c r="H33" s="83">
        <v>0.0</v>
      </c>
      <c r="I33" s="83">
        <v>100.0</v>
      </c>
      <c r="J33" s="83">
        <v>0.0</v>
      </c>
      <c r="K33" s="83">
        <v>0.0</v>
      </c>
      <c r="L33" s="83">
        <v>100.0</v>
      </c>
      <c r="M33" s="84">
        <f t="shared" si="1"/>
        <v>47.73</v>
      </c>
    </row>
    <row r="34">
      <c r="A34" s="87" t="s">
        <v>135</v>
      </c>
      <c r="B34" s="88">
        <v>100.0</v>
      </c>
      <c r="C34" s="88">
        <v>50.0</v>
      </c>
      <c r="D34" s="88">
        <v>75.0</v>
      </c>
      <c r="E34" s="88">
        <v>0.0</v>
      </c>
      <c r="F34" s="88">
        <v>25.0</v>
      </c>
      <c r="G34" s="88">
        <v>100.0</v>
      </c>
      <c r="H34" s="88">
        <v>0.0</v>
      </c>
      <c r="I34" s="88">
        <v>100.0</v>
      </c>
      <c r="J34" s="88">
        <v>0.0</v>
      </c>
      <c r="K34" s="83">
        <v>0.0</v>
      </c>
      <c r="L34" s="83">
        <v>100.0</v>
      </c>
      <c r="M34" s="84">
        <f t="shared" si="1"/>
        <v>50</v>
      </c>
    </row>
    <row r="35">
      <c r="A35" s="89"/>
      <c r="B35" s="89"/>
      <c r="C35" s="89"/>
      <c r="D35" s="89"/>
      <c r="E35" s="89"/>
      <c r="F35" s="89"/>
      <c r="G35" s="89"/>
      <c r="H35" s="89"/>
      <c r="I35" s="89"/>
      <c r="J35" s="89"/>
      <c r="K35" s="89"/>
      <c r="L35" s="89"/>
      <c r="M35" s="90"/>
    </row>
    <row r="36">
      <c r="A36" s="23"/>
      <c r="B36" s="24"/>
      <c r="C36" s="24"/>
      <c r="D36" s="24"/>
      <c r="E36" s="24"/>
      <c r="F36" s="24"/>
      <c r="G36" s="24"/>
      <c r="H36" s="24"/>
      <c r="I36" s="24"/>
      <c r="J36" s="24"/>
      <c r="K36" s="24"/>
      <c r="L36" s="24"/>
      <c r="M36" s="90"/>
    </row>
    <row r="37">
      <c r="A37" s="91"/>
      <c r="B37" s="24"/>
      <c r="C37" s="24"/>
      <c r="D37" s="24"/>
      <c r="E37" s="24"/>
      <c r="F37" s="24"/>
      <c r="G37" s="24"/>
      <c r="H37" s="24"/>
      <c r="I37" s="24"/>
      <c r="J37" s="24"/>
      <c r="K37" s="24"/>
      <c r="L37" s="24"/>
      <c r="M37" s="90"/>
    </row>
    <row r="38">
      <c r="A38" s="91"/>
      <c r="B38" s="24"/>
      <c r="C38" s="24"/>
      <c r="D38" s="24"/>
      <c r="E38" s="24"/>
      <c r="F38" s="24"/>
      <c r="G38" s="24"/>
      <c r="H38" s="24"/>
      <c r="I38" s="24"/>
      <c r="J38" s="24"/>
      <c r="K38" s="24"/>
      <c r="L38" s="24"/>
      <c r="M38" s="90"/>
    </row>
    <row r="39">
      <c r="A39" s="91"/>
      <c r="B39" s="24"/>
      <c r="C39" s="24"/>
      <c r="D39" s="24"/>
      <c r="E39" s="24"/>
      <c r="F39" s="24"/>
      <c r="G39" s="24"/>
      <c r="H39" s="24"/>
      <c r="I39" s="24"/>
      <c r="J39" s="24"/>
      <c r="K39" s="24"/>
      <c r="L39" s="24"/>
      <c r="M39" s="90"/>
    </row>
    <row r="40">
      <c r="A40" s="91"/>
      <c r="B40" s="24"/>
      <c r="C40" s="24"/>
      <c r="D40" s="24"/>
      <c r="E40" s="24"/>
      <c r="F40" s="24"/>
      <c r="G40" s="24"/>
      <c r="H40" s="24"/>
      <c r="I40" s="24"/>
      <c r="J40" s="24"/>
      <c r="K40" s="24"/>
      <c r="L40" s="24"/>
      <c r="M40" s="90"/>
    </row>
    <row r="41">
      <c r="A41" s="91"/>
      <c r="B41" s="24"/>
      <c r="C41" s="24"/>
      <c r="D41" s="24"/>
      <c r="E41" s="24"/>
      <c r="F41" s="24"/>
      <c r="G41" s="24"/>
      <c r="H41" s="24"/>
      <c r="I41" s="24"/>
      <c r="J41" s="24"/>
      <c r="K41" s="24"/>
      <c r="L41" s="24"/>
      <c r="M41" s="90"/>
    </row>
    <row r="42">
      <c r="A42" s="91"/>
      <c r="B42" s="24"/>
      <c r="C42" s="24"/>
      <c r="D42" s="24"/>
      <c r="E42" s="24"/>
      <c r="F42" s="24"/>
      <c r="G42" s="24"/>
      <c r="H42" s="24"/>
      <c r="I42" s="24"/>
      <c r="J42" s="24"/>
      <c r="K42" s="24"/>
      <c r="L42" s="24"/>
      <c r="M42" s="90"/>
    </row>
    <row r="43">
      <c r="A43" s="91"/>
      <c r="B43" s="24"/>
      <c r="C43" s="24"/>
      <c r="D43" s="24"/>
      <c r="E43" s="24"/>
      <c r="F43" s="24"/>
      <c r="G43" s="24"/>
      <c r="H43" s="24"/>
      <c r="I43" s="24"/>
      <c r="J43" s="24"/>
      <c r="K43" s="24"/>
      <c r="L43" s="24"/>
      <c r="M43" s="90"/>
    </row>
    <row r="44" ht="45.75" customHeight="1">
      <c r="A44" s="91"/>
      <c r="B44" s="24"/>
      <c r="C44" s="24"/>
      <c r="D44" s="24"/>
      <c r="E44" s="24"/>
      <c r="F44" s="24"/>
      <c r="G44" s="24"/>
      <c r="H44" s="24"/>
      <c r="I44" s="24"/>
      <c r="J44" s="24"/>
      <c r="K44" s="24"/>
      <c r="L44" s="24"/>
      <c r="M44" s="90"/>
    </row>
    <row r="45">
      <c r="A45" s="91"/>
      <c r="B45" s="24"/>
      <c r="C45" s="24"/>
      <c r="D45" s="24"/>
      <c r="E45" s="24"/>
      <c r="F45" s="24"/>
      <c r="G45" s="24"/>
      <c r="H45" s="24"/>
      <c r="I45" s="24"/>
      <c r="J45" s="24"/>
      <c r="K45" s="24"/>
      <c r="L45" s="24"/>
      <c r="M45" s="90"/>
    </row>
    <row r="46">
      <c r="A46" s="24"/>
      <c r="B46" s="24"/>
      <c r="C46" s="24"/>
      <c r="D46" s="24"/>
      <c r="E46" s="24"/>
      <c r="F46" s="24"/>
      <c r="G46" s="24"/>
      <c r="H46" s="24"/>
      <c r="I46" s="24"/>
      <c r="J46" s="24"/>
      <c r="K46" s="24"/>
      <c r="L46" s="24"/>
      <c r="M46" s="90"/>
    </row>
    <row r="47">
      <c r="A47" s="23"/>
      <c r="B47" s="24"/>
      <c r="C47" s="24"/>
      <c r="D47" s="24"/>
      <c r="E47" s="24"/>
      <c r="F47" s="24"/>
      <c r="G47" s="24"/>
      <c r="H47" s="24"/>
      <c r="I47" s="24"/>
      <c r="J47" s="24"/>
      <c r="K47" s="24"/>
      <c r="L47" s="24"/>
      <c r="M47" s="90"/>
    </row>
    <row r="48">
      <c r="A48" s="23"/>
      <c r="B48" s="24"/>
      <c r="C48" s="24"/>
      <c r="D48" s="24"/>
      <c r="E48" s="24"/>
      <c r="F48" s="24"/>
      <c r="G48" s="24"/>
      <c r="H48" s="24"/>
      <c r="I48" s="24"/>
      <c r="J48" s="24"/>
      <c r="K48" s="24"/>
      <c r="L48" s="24"/>
      <c r="M48" s="90"/>
    </row>
    <row r="49">
      <c r="A49" s="23"/>
      <c r="B49" s="23"/>
      <c r="C49" s="24"/>
      <c r="D49" s="24"/>
      <c r="E49" s="24"/>
      <c r="F49" s="24"/>
      <c r="G49" s="24"/>
      <c r="H49" s="24"/>
      <c r="I49" s="24"/>
      <c r="J49" s="24"/>
      <c r="K49" s="24"/>
      <c r="L49" s="24"/>
      <c r="M49" s="90"/>
    </row>
    <row r="50">
      <c r="A50" s="23"/>
      <c r="B50" s="24"/>
      <c r="C50" s="24"/>
      <c r="D50" s="24"/>
      <c r="E50" s="24"/>
      <c r="F50" s="24"/>
      <c r="G50" s="24"/>
      <c r="H50" s="24"/>
      <c r="I50" s="24"/>
      <c r="J50" s="24"/>
      <c r="K50" s="24"/>
      <c r="L50" s="24"/>
      <c r="M50" s="90"/>
    </row>
    <row r="51">
      <c r="A51" s="24"/>
      <c r="B51" s="24"/>
      <c r="C51" s="24"/>
      <c r="D51" s="24"/>
      <c r="E51" s="24"/>
      <c r="F51" s="24"/>
      <c r="G51" s="24"/>
      <c r="H51" s="24"/>
      <c r="I51" s="24"/>
      <c r="J51" s="24"/>
      <c r="K51" s="24"/>
      <c r="L51" s="24"/>
      <c r="M51" s="90"/>
    </row>
    <row r="52">
      <c r="A52" s="24"/>
      <c r="B52" s="24"/>
      <c r="C52" s="24"/>
      <c r="D52" s="24"/>
      <c r="E52" s="24"/>
      <c r="F52" s="24"/>
      <c r="G52" s="24"/>
      <c r="H52" s="24"/>
      <c r="I52" s="24"/>
      <c r="J52" s="24"/>
      <c r="K52" s="24"/>
      <c r="L52" s="24"/>
      <c r="M52" s="90"/>
    </row>
    <row r="53">
      <c r="A53" s="24"/>
      <c r="B53" s="24"/>
      <c r="C53" s="24"/>
      <c r="D53" s="24"/>
      <c r="E53" s="24"/>
      <c r="F53" s="24"/>
      <c r="G53" s="24"/>
      <c r="H53" s="24"/>
      <c r="I53" s="24"/>
      <c r="J53" s="24"/>
      <c r="K53" s="24"/>
      <c r="L53" s="24"/>
      <c r="M53" s="90"/>
    </row>
    <row r="54">
      <c r="A54" s="24"/>
      <c r="B54" s="24"/>
      <c r="C54" s="24"/>
      <c r="D54" s="24"/>
      <c r="E54" s="24"/>
      <c r="F54" s="24"/>
      <c r="G54" s="24"/>
      <c r="H54" s="24"/>
      <c r="I54" s="24"/>
      <c r="J54" s="24"/>
      <c r="K54" s="24"/>
      <c r="L54" s="24"/>
      <c r="M54" s="90"/>
    </row>
    <row r="55">
      <c r="A55" s="24"/>
      <c r="B55" s="24"/>
      <c r="C55" s="24"/>
      <c r="D55" s="24"/>
      <c r="E55" s="24"/>
      <c r="F55" s="24"/>
      <c r="G55" s="24"/>
      <c r="H55" s="24"/>
      <c r="I55" s="24"/>
      <c r="J55" s="24"/>
      <c r="K55" s="24"/>
      <c r="L55" s="24"/>
      <c r="M55" s="90"/>
    </row>
    <row r="56">
      <c r="A56" s="24"/>
      <c r="B56" s="24"/>
      <c r="C56" s="24"/>
      <c r="D56" s="24"/>
      <c r="E56" s="24"/>
      <c r="F56" s="24"/>
      <c r="G56" s="24"/>
      <c r="H56" s="24"/>
      <c r="I56" s="24"/>
      <c r="J56" s="24"/>
      <c r="K56" s="24"/>
      <c r="L56" s="24"/>
      <c r="M56" s="90"/>
    </row>
    <row r="57">
      <c r="A57" s="24"/>
      <c r="B57" s="24"/>
      <c r="C57" s="24"/>
      <c r="D57" s="24"/>
      <c r="E57" s="24"/>
      <c r="F57" s="24"/>
      <c r="G57" s="24"/>
      <c r="H57" s="24"/>
      <c r="I57" s="24"/>
      <c r="J57" s="24"/>
      <c r="K57" s="24"/>
      <c r="L57" s="24"/>
      <c r="M57" s="90"/>
    </row>
    <row r="58">
      <c r="A58" s="24"/>
      <c r="B58" s="24"/>
      <c r="C58" s="24"/>
      <c r="D58" s="24"/>
      <c r="E58" s="24"/>
      <c r="F58" s="24"/>
      <c r="G58" s="24"/>
      <c r="H58" s="24"/>
      <c r="I58" s="24"/>
      <c r="J58" s="24"/>
      <c r="K58" s="24"/>
      <c r="L58" s="24"/>
      <c r="M58" s="90"/>
    </row>
    <row r="59">
      <c r="A59" s="24"/>
      <c r="B59" s="24"/>
      <c r="C59" s="24"/>
      <c r="D59" s="24"/>
      <c r="E59" s="24"/>
      <c r="F59" s="24"/>
      <c r="G59" s="24"/>
      <c r="H59" s="24"/>
      <c r="I59" s="24"/>
      <c r="J59" s="24"/>
      <c r="K59" s="24"/>
      <c r="L59" s="24"/>
      <c r="M59" s="90"/>
    </row>
    <row r="60">
      <c r="A60" s="24"/>
      <c r="B60" s="24"/>
      <c r="C60" s="24"/>
      <c r="D60" s="24"/>
      <c r="E60" s="24"/>
      <c r="F60" s="24"/>
      <c r="G60" s="24"/>
      <c r="H60" s="24"/>
      <c r="I60" s="24"/>
      <c r="J60" s="24"/>
      <c r="K60" s="24"/>
      <c r="L60" s="24"/>
      <c r="M60" s="90"/>
    </row>
    <row r="61">
      <c r="A61" s="24"/>
      <c r="B61" s="24"/>
      <c r="C61" s="24"/>
      <c r="D61" s="24"/>
      <c r="E61" s="24"/>
      <c r="F61" s="24"/>
      <c r="G61" s="24"/>
      <c r="H61" s="24"/>
      <c r="I61" s="24"/>
      <c r="J61" s="24"/>
      <c r="K61" s="24"/>
      <c r="L61" s="24"/>
      <c r="M61" s="90"/>
    </row>
    <row r="62">
      <c r="A62" s="24"/>
      <c r="B62" s="24"/>
      <c r="C62" s="24"/>
      <c r="D62" s="24"/>
      <c r="E62" s="24"/>
      <c r="F62" s="24"/>
      <c r="G62" s="24"/>
      <c r="H62" s="24"/>
      <c r="I62" s="24"/>
      <c r="J62" s="24"/>
      <c r="K62" s="24"/>
      <c r="L62" s="24"/>
      <c r="M62" s="90"/>
    </row>
    <row r="63">
      <c r="A63" s="24"/>
      <c r="B63" s="24"/>
      <c r="C63" s="24"/>
      <c r="D63" s="24"/>
      <c r="E63" s="24"/>
      <c r="F63" s="24"/>
      <c r="G63" s="24"/>
      <c r="H63" s="24"/>
      <c r="I63" s="24"/>
      <c r="J63" s="24"/>
      <c r="K63" s="24"/>
      <c r="L63" s="24"/>
      <c r="M63" s="90"/>
    </row>
    <row r="64">
      <c r="A64" s="24"/>
      <c r="B64" s="24"/>
      <c r="C64" s="24"/>
      <c r="D64" s="24"/>
      <c r="E64" s="24"/>
      <c r="F64" s="24"/>
      <c r="G64" s="24"/>
      <c r="H64" s="24"/>
      <c r="I64" s="24"/>
      <c r="J64" s="24"/>
      <c r="K64" s="24"/>
      <c r="L64" s="24"/>
      <c r="M64" s="90"/>
    </row>
    <row r="65">
      <c r="A65" s="24"/>
      <c r="B65" s="24"/>
      <c r="C65" s="24"/>
      <c r="D65" s="24"/>
      <c r="E65" s="24"/>
      <c r="F65" s="24"/>
      <c r="G65" s="24"/>
      <c r="H65" s="24"/>
      <c r="I65" s="24"/>
      <c r="J65" s="24"/>
      <c r="K65" s="24"/>
      <c r="L65" s="24"/>
      <c r="M65" s="90"/>
    </row>
    <row r="66">
      <c r="A66" s="24"/>
      <c r="B66" s="24"/>
      <c r="C66" s="24"/>
      <c r="D66" s="24"/>
      <c r="E66" s="24"/>
      <c r="F66" s="24"/>
      <c r="G66" s="24"/>
      <c r="H66" s="24"/>
      <c r="I66" s="24"/>
      <c r="J66" s="24"/>
      <c r="K66" s="24"/>
      <c r="L66" s="24"/>
      <c r="M66" s="90"/>
    </row>
    <row r="67">
      <c r="A67" s="24"/>
      <c r="B67" s="24"/>
      <c r="C67" s="24"/>
      <c r="D67" s="24"/>
      <c r="E67" s="24"/>
      <c r="F67" s="24"/>
      <c r="G67" s="24"/>
      <c r="H67" s="24"/>
      <c r="I67" s="24"/>
      <c r="J67" s="24"/>
      <c r="K67" s="24"/>
      <c r="L67" s="24"/>
      <c r="M67" s="90"/>
    </row>
    <row r="68">
      <c r="A68" s="24"/>
      <c r="B68" s="24"/>
      <c r="C68" s="24"/>
      <c r="D68" s="24"/>
      <c r="E68" s="24"/>
      <c r="F68" s="24"/>
      <c r="G68" s="24"/>
      <c r="H68" s="24"/>
      <c r="I68" s="24"/>
      <c r="J68" s="24"/>
      <c r="K68" s="24"/>
      <c r="L68" s="24"/>
      <c r="M68" s="90"/>
    </row>
    <row r="69">
      <c r="A69" s="24"/>
      <c r="B69" s="24"/>
      <c r="C69" s="24"/>
      <c r="D69" s="24"/>
      <c r="E69" s="24"/>
      <c r="F69" s="24"/>
      <c r="G69" s="24"/>
      <c r="H69" s="24"/>
      <c r="I69" s="24"/>
      <c r="J69" s="24"/>
      <c r="K69" s="24"/>
      <c r="L69" s="24"/>
      <c r="M69" s="90"/>
    </row>
    <row r="70">
      <c r="A70" s="24"/>
      <c r="B70" s="24"/>
      <c r="C70" s="24"/>
      <c r="D70" s="24"/>
      <c r="E70" s="24"/>
      <c r="F70" s="24"/>
      <c r="G70" s="24"/>
      <c r="H70" s="24"/>
      <c r="I70" s="24"/>
      <c r="J70" s="24"/>
      <c r="K70" s="24"/>
      <c r="L70" s="24"/>
      <c r="M70" s="90"/>
    </row>
    <row r="71">
      <c r="A71" s="24"/>
      <c r="B71" s="24"/>
      <c r="C71" s="24"/>
      <c r="D71" s="24"/>
      <c r="E71" s="24"/>
      <c r="F71" s="24"/>
      <c r="G71" s="24"/>
      <c r="H71" s="24"/>
      <c r="I71" s="24"/>
      <c r="J71" s="24"/>
      <c r="K71" s="24"/>
      <c r="L71" s="24"/>
      <c r="M71" s="90"/>
    </row>
    <row r="72">
      <c r="A72" s="24"/>
      <c r="B72" s="24"/>
      <c r="C72" s="24"/>
      <c r="D72" s="24"/>
      <c r="E72" s="24"/>
      <c r="F72" s="24"/>
      <c r="G72" s="24"/>
      <c r="H72" s="24"/>
      <c r="I72" s="24"/>
      <c r="J72" s="24"/>
      <c r="K72" s="24"/>
      <c r="L72" s="24"/>
      <c r="M72" s="90"/>
    </row>
    <row r="73">
      <c r="A73" s="24"/>
      <c r="B73" s="24"/>
      <c r="C73" s="24"/>
      <c r="D73" s="24"/>
      <c r="E73" s="24"/>
      <c r="F73" s="24"/>
      <c r="G73" s="24"/>
      <c r="H73" s="24"/>
      <c r="I73" s="24"/>
      <c r="J73" s="24"/>
      <c r="K73" s="24"/>
      <c r="L73" s="24"/>
      <c r="M73" s="90"/>
    </row>
    <row r="74">
      <c r="A74" s="24"/>
      <c r="B74" s="24"/>
      <c r="C74" s="24"/>
      <c r="D74" s="24"/>
      <c r="E74" s="24"/>
      <c r="F74" s="24"/>
      <c r="G74" s="24"/>
      <c r="H74" s="24"/>
      <c r="I74" s="24"/>
      <c r="J74" s="24"/>
      <c r="K74" s="24"/>
      <c r="L74" s="24"/>
      <c r="M74" s="90"/>
    </row>
    <row r="75">
      <c r="A75" s="24"/>
      <c r="B75" s="24"/>
      <c r="C75" s="24"/>
      <c r="D75" s="24"/>
      <c r="E75" s="24"/>
      <c r="F75" s="24"/>
      <c r="G75" s="24"/>
      <c r="H75" s="24"/>
      <c r="I75" s="24"/>
      <c r="J75" s="24"/>
      <c r="K75" s="24"/>
      <c r="L75" s="24"/>
      <c r="M75" s="90"/>
    </row>
    <row r="76">
      <c r="A76" s="24"/>
      <c r="B76" s="24"/>
      <c r="C76" s="24"/>
      <c r="D76" s="24"/>
      <c r="E76" s="24"/>
      <c r="F76" s="24"/>
      <c r="G76" s="24"/>
      <c r="H76" s="24"/>
      <c r="I76" s="24"/>
      <c r="J76" s="24"/>
      <c r="K76" s="24"/>
      <c r="L76" s="24"/>
      <c r="M76" s="90"/>
    </row>
    <row r="77">
      <c r="A77" s="24"/>
      <c r="B77" s="24"/>
      <c r="C77" s="24"/>
      <c r="D77" s="24"/>
      <c r="E77" s="24"/>
      <c r="F77" s="24"/>
      <c r="G77" s="24"/>
      <c r="H77" s="24"/>
      <c r="I77" s="24"/>
      <c r="J77" s="24"/>
      <c r="K77" s="24"/>
      <c r="L77" s="24"/>
      <c r="M77" s="90"/>
    </row>
    <row r="78">
      <c r="A78" s="24"/>
      <c r="B78" s="24"/>
      <c r="C78" s="24"/>
      <c r="D78" s="24"/>
      <c r="E78" s="24"/>
      <c r="F78" s="24"/>
      <c r="G78" s="24"/>
      <c r="H78" s="24"/>
      <c r="I78" s="24"/>
      <c r="J78" s="24"/>
      <c r="K78" s="24"/>
      <c r="L78" s="24"/>
      <c r="M78" s="90"/>
    </row>
    <row r="79">
      <c r="A79" s="24"/>
      <c r="B79" s="24"/>
      <c r="C79" s="24"/>
      <c r="D79" s="24"/>
      <c r="E79" s="24"/>
      <c r="F79" s="24"/>
      <c r="G79" s="24"/>
      <c r="H79" s="24"/>
      <c r="I79" s="24"/>
      <c r="J79" s="24"/>
      <c r="K79" s="24"/>
      <c r="L79" s="24"/>
      <c r="M79" s="90"/>
    </row>
    <row r="80">
      <c r="A80" s="24"/>
      <c r="B80" s="24"/>
      <c r="C80" s="24"/>
      <c r="D80" s="24"/>
      <c r="E80" s="24"/>
      <c r="F80" s="24"/>
      <c r="G80" s="24"/>
      <c r="H80" s="24"/>
      <c r="I80" s="24"/>
      <c r="J80" s="24"/>
      <c r="K80" s="24"/>
      <c r="L80" s="24"/>
      <c r="M80" s="90"/>
    </row>
    <row r="81">
      <c r="A81" s="24"/>
      <c r="B81" s="24"/>
      <c r="C81" s="24"/>
      <c r="D81" s="24"/>
      <c r="E81" s="24"/>
      <c r="F81" s="24"/>
      <c r="G81" s="24"/>
      <c r="H81" s="24"/>
      <c r="I81" s="24"/>
      <c r="J81" s="24"/>
      <c r="K81" s="24"/>
      <c r="L81" s="24"/>
      <c r="M81" s="90"/>
    </row>
    <row r="82">
      <c r="A82" s="24"/>
      <c r="B82" s="24"/>
      <c r="C82" s="24"/>
      <c r="D82" s="24"/>
      <c r="E82" s="24"/>
      <c r="F82" s="24"/>
      <c r="G82" s="24"/>
      <c r="H82" s="24"/>
      <c r="I82" s="24"/>
      <c r="J82" s="24"/>
      <c r="K82" s="24"/>
      <c r="L82" s="24"/>
      <c r="M82" s="90"/>
    </row>
    <row r="83">
      <c r="A83" s="24"/>
      <c r="B83" s="24"/>
      <c r="C83" s="24"/>
      <c r="D83" s="24"/>
      <c r="E83" s="24"/>
      <c r="F83" s="24"/>
      <c r="G83" s="24"/>
      <c r="H83" s="24"/>
      <c r="I83" s="24"/>
      <c r="J83" s="24"/>
      <c r="K83" s="24"/>
      <c r="L83" s="24"/>
      <c r="M83" s="90"/>
    </row>
    <row r="84">
      <c r="A84" s="24"/>
      <c r="B84" s="24"/>
      <c r="C84" s="24"/>
      <c r="D84" s="24"/>
      <c r="E84" s="24"/>
      <c r="F84" s="24"/>
      <c r="G84" s="24"/>
      <c r="H84" s="24"/>
      <c r="I84" s="24"/>
      <c r="J84" s="24"/>
      <c r="K84" s="24"/>
      <c r="L84" s="24"/>
      <c r="M84" s="90"/>
    </row>
    <row r="85">
      <c r="A85" s="24"/>
      <c r="B85" s="24"/>
      <c r="C85" s="24"/>
      <c r="D85" s="24"/>
      <c r="E85" s="24"/>
      <c r="F85" s="24"/>
      <c r="G85" s="24"/>
      <c r="H85" s="24"/>
      <c r="I85" s="24"/>
      <c r="J85" s="24"/>
      <c r="K85" s="24"/>
      <c r="L85" s="24"/>
      <c r="M85" s="90"/>
    </row>
    <row r="86">
      <c r="A86" s="24"/>
      <c r="B86" s="24"/>
      <c r="C86" s="24"/>
      <c r="D86" s="24"/>
      <c r="E86" s="24"/>
      <c r="F86" s="24"/>
      <c r="G86" s="24"/>
      <c r="H86" s="24"/>
      <c r="I86" s="24"/>
      <c r="J86" s="24"/>
      <c r="K86" s="24"/>
      <c r="L86" s="24"/>
      <c r="M86" s="90"/>
    </row>
    <row r="87">
      <c r="A87" s="24"/>
      <c r="B87" s="24"/>
      <c r="C87" s="24"/>
      <c r="D87" s="24"/>
      <c r="E87" s="24"/>
      <c r="F87" s="24"/>
      <c r="G87" s="24"/>
      <c r="H87" s="24"/>
      <c r="I87" s="24"/>
      <c r="J87" s="24"/>
      <c r="K87" s="24"/>
      <c r="L87" s="24"/>
      <c r="M87" s="90"/>
    </row>
    <row r="88">
      <c r="A88" s="24"/>
      <c r="B88" s="24"/>
      <c r="C88" s="24"/>
      <c r="D88" s="24"/>
      <c r="E88" s="24"/>
      <c r="F88" s="24"/>
      <c r="G88" s="24"/>
      <c r="H88" s="24"/>
      <c r="I88" s="24"/>
      <c r="J88" s="24"/>
      <c r="K88" s="24"/>
      <c r="L88" s="24"/>
      <c r="M88" s="90"/>
    </row>
    <row r="89">
      <c r="A89" s="24"/>
      <c r="B89" s="24"/>
      <c r="C89" s="24"/>
      <c r="D89" s="24"/>
      <c r="E89" s="24"/>
      <c r="F89" s="24"/>
      <c r="G89" s="24"/>
      <c r="H89" s="24"/>
      <c r="I89" s="24"/>
      <c r="J89" s="24"/>
      <c r="K89" s="24"/>
      <c r="L89" s="24"/>
      <c r="M89" s="90"/>
    </row>
    <row r="90">
      <c r="A90" s="24"/>
      <c r="B90" s="24"/>
      <c r="C90" s="24"/>
      <c r="D90" s="24"/>
      <c r="E90" s="24"/>
      <c r="F90" s="24"/>
      <c r="G90" s="24"/>
      <c r="H90" s="24"/>
      <c r="I90" s="24"/>
      <c r="J90" s="24"/>
      <c r="K90" s="24"/>
      <c r="L90" s="24"/>
      <c r="M90" s="90"/>
    </row>
    <row r="91">
      <c r="A91" s="24"/>
      <c r="B91" s="24"/>
      <c r="C91" s="24"/>
      <c r="D91" s="24"/>
      <c r="E91" s="24"/>
      <c r="F91" s="24"/>
      <c r="G91" s="24"/>
      <c r="H91" s="24"/>
      <c r="I91" s="24"/>
      <c r="J91" s="24"/>
      <c r="K91" s="24"/>
      <c r="L91" s="24"/>
      <c r="M91" s="90"/>
    </row>
    <row r="92">
      <c r="A92" s="24"/>
      <c r="B92" s="24"/>
      <c r="C92" s="24"/>
      <c r="D92" s="24"/>
      <c r="E92" s="24"/>
      <c r="F92" s="24"/>
      <c r="G92" s="24"/>
      <c r="H92" s="24"/>
      <c r="I92" s="24"/>
      <c r="J92" s="24"/>
      <c r="K92" s="24"/>
      <c r="L92" s="24"/>
      <c r="M92" s="90"/>
    </row>
    <row r="93">
      <c r="A93" s="24"/>
      <c r="B93" s="24"/>
      <c r="C93" s="24"/>
      <c r="D93" s="24"/>
      <c r="E93" s="24"/>
      <c r="F93" s="24"/>
      <c r="G93" s="24"/>
      <c r="H93" s="24"/>
      <c r="I93" s="24"/>
      <c r="J93" s="24"/>
      <c r="K93" s="24"/>
      <c r="L93" s="24"/>
      <c r="M93" s="90"/>
    </row>
    <row r="94">
      <c r="A94" s="24"/>
      <c r="B94" s="24"/>
      <c r="C94" s="24"/>
      <c r="D94" s="24"/>
      <c r="E94" s="24"/>
      <c r="F94" s="24"/>
      <c r="G94" s="24"/>
      <c r="H94" s="24"/>
      <c r="I94" s="24"/>
      <c r="J94" s="24"/>
      <c r="K94" s="24"/>
      <c r="L94" s="24"/>
      <c r="M94" s="90"/>
    </row>
    <row r="95">
      <c r="A95" s="24"/>
      <c r="B95" s="24"/>
      <c r="C95" s="24"/>
      <c r="D95" s="24"/>
      <c r="E95" s="24"/>
      <c r="F95" s="24"/>
      <c r="G95" s="24"/>
      <c r="H95" s="24"/>
      <c r="I95" s="24"/>
      <c r="J95" s="24"/>
      <c r="K95" s="24"/>
      <c r="L95" s="24"/>
      <c r="M95" s="90"/>
    </row>
    <row r="96">
      <c r="A96" s="24"/>
      <c r="B96" s="24"/>
      <c r="C96" s="24"/>
      <c r="D96" s="24"/>
      <c r="E96" s="24"/>
      <c r="F96" s="24"/>
      <c r="G96" s="24"/>
      <c r="H96" s="24"/>
      <c r="I96" s="24"/>
      <c r="J96" s="24"/>
      <c r="K96" s="24"/>
      <c r="L96" s="24"/>
      <c r="M96" s="90"/>
    </row>
    <row r="97">
      <c r="A97" s="24"/>
      <c r="B97" s="24"/>
      <c r="C97" s="24"/>
      <c r="D97" s="24"/>
      <c r="E97" s="24"/>
      <c r="F97" s="24"/>
      <c r="G97" s="24"/>
      <c r="H97" s="24"/>
      <c r="I97" s="24"/>
      <c r="J97" s="24"/>
      <c r="K97" s="24"/>
      <c r="L97" s="24"/>
      <c r="M97" s="90"/>
    </row>
    <row r="98">
      <c r="A98" s="24"/>
      <c r="B98" s="24"/>
      <c r="C98" s="24"/>
      <c r="D98" s="24"/>
      <c r="E98" s="24"/>
      <c r="F98" s="24"/>
      <c r="G98" s="24"/>
      <c r="H98" s="24"/>
      <c r="I98" s="24"/>
      <c r="J98" s="24"/>
      <c r="K98" s="24"/>
      <c r="L98" s="24"/>
      <c r="M98" s="90"/>
    </row>
    <row r="99">
      <c r="A99" s="24"/>
      <c r="B99" s="24"/>
      <c r="C99" s="24"/>
      <c r="D99" s="24"/>
      <c r="E99" s="24"/>
      <c r="F99" s="24"/>
      <c r="G99" s="24"/>
      <c r="H99" s="24"/>
      <c r="I99" s="24"/>
      <c r="J99" s="24"/>
      <c r="K99" s="24"/>
      <c r="L99" s="24"/>
      <c r="M99" s="90"/>
    </row>
    <row r="100">
      <c r="A100" s="24"/>
      <c r="B100" s="24"/>
      <c r="C100" s="24"/>
      <c r="D100" s="24"/>
      <c r="E100" s="24"/>
      <c r="F100" s="24"/>
      <c r="G100" s="24"/>
      <c r="H100" s="24"/>
      <c r="I100" s="24"/>
      <c r="J100" s="24"/>
      <c r="K100" s="24"/>
      <c r="L100" s="24"/>
      <c r="M100" s="90"/>
    </row>
    <row r="101">
      <c r="A101" s="24"/>
      <c r="B101" s="24"/>
      <c r="C101" s="24"/>
      <c r="D101" s="24"/>
      <c r="E101" s="24"/>
      <c r="F101" s="24"/>
      <c r="G101" s="24"/>
      <c r="H101" s="24"/>
      <c r="I101" s="24"/>
      <c r="J101" s="24"/>
      <c r="K101" s="24"/>
      <c r="L101" s="24"/>
      <c r="M101" s="90"/>
    </row>
    <row r="102">
      <c r="A102" s="24"/>
      <c r="B102" s="24"/>
      <c r="C102" s="24"/>
      <c r="D102" s="24"/>
      <c r="E102" s="24"/>
      <c r="F102" s="24"/>
      <c r="G102" s="24"/>
      <c r="H102" s="24"/>
      <c r="I102" s="24"/>
      <c r="J102" s="24"/>
      <c r="K102" s="24"/>
      <c r="L102" s="24"/>
      <c r="M102" s="90"/>
    </row>
    <row r="103">
      <c r="A103" s="24"/>
      <c r="B103" s="24"/>
      <c r="C103" s="24"/>
      <c r="D103" s="24"/>
      <c r="E103" s="24"/>
      <c r="F103" s="24"/>
      <c r="G103" s="24"/>
      <c r="H103" s="24"/>
      <c r="I103" s="24"/>
      <c r="J103" s="24"/>
      <c r="K103" s="24"/>
      <c r="L103" s="24"/>
      <c r="M103" s="90"/>
    </row>
    <row r="104">
      <c r="A104" s="24"/>
      <c r="B104" s="24"/>
      <c r="C104" s="24"/>
      <c r="D104" s="24"/>
      <c r="E104" s="24"/>
      <c r="F104" s="24"/>
      <c r="G104" s="24"/>
      <c r="H104" s="24"/>
      <c r="I104" s="24"/>
      <c r="J104" s="24"/>
      <c r="K104" s="24"/>
      <c r="L104" s="24"/>
      <c r="M104" s="90"/>
    </row>
    <row r="105">
      <c r="A105" s="24"/>
      <c r="B105" s="24"/>
      <c r="C105" s="24"/>
      <c r="D105" s="24"/>
      <c r="E105" s="24"/>
      <c r="F105" s="24"/>
      <c r="G105" s="24"/>
      <c r="H105" s="24"/>
      <c r="I105" s="24"/>
      <c r="J105" s="24"/>
      <c r="K105" s="24"/>
      <c r="L105" s="24"/>
      <c r="M105" s="90"/>
    </row>
    <row r="106">
      <c r="A106" s="24"/>
      <c r="B106" s="24"/>
      <c r="C106" s="24"/>
      <c r="D106" s="24"/>
      <c r="E106" s="24"/>
      <c r="F106" s="24"/>
      <c r="G106" s="24"/>
      <c r="H106" s="24"/>
      <c r="I106" s="24"/>
      <c r="J106" s="24"/>
      <c r="K106" s="24"/>
      <c r="L106" s="24"/>
      <c r="M106" s="90"/>
    </row>
    <row r="107">
      <c r="A107" s="24"/>
      <c r="B107" s="24"/>
      <c r="C107" s="24"/>
      <c r="D107" s="24"/>
      <c r="E107" s="24"/>
      <c r="F107" s="24"/>
      <c r="G107" s="24"/>
      <c r="H107" s="24"/>
      <c r="I107" s="24"/>
      <c r="J107" s="24"/>
      <c r="K107" s="24"/>
      <c r="L107" s="24"/>
      <c r="M107" s="90"/>
    </row>
    <row r="108">
      <c r="A108" s="24"/>
      <c r="B108" s="24"/>
      <c r="C108" s="24"/>
      <c r="D108" s="24"/>
      <c r="E108" s="24"/>
      <c r="F108" s="24"/>
      <c r="G108" s="24"/>
      <c r="H108" s="24"/>
      <c r="I108" s="24"/>
      <c r="J108" s="24"/>
      <c r="K108" s="24"/>
      <c r="L108" s="24"/>
      <c r="M108" s="90"/>
    </row>
    <row r="109">
      <c r="A109" s="24"/>
      <c r="B109" s="24"/>
      <c r="C109" s="24"/>
      <c r="D109" s="24"/>
      <c r="E109" s="24"/>
      <c r="F109" s="24"/>
      <c r="G109" s="24"/>
      <c r="H109" s="24"/>
      <c r="I109" s="24"/>
      <c r="J109" s="24"/>
      <c r="K109" s="24"/>
      <c r="L109" s="24"/>
      <c r="M109" s="90"/>
    </row>
    <row r="110">
      <c r="A110" s="24"/>
      <c r="B110" s="24"/>
      <c r="C110" s="24"/>
      <c r="D110" s="24"/>
      <c r="E110" s="24"/>
      <c r="F110" s="24"/>
      <c r="G110" s="24"/>
      <c r="H110" s="24"/>
      <c r="I110" s="24"/>
      <c r="J110" s="24"/>
      <c r="K110" s="24"/>
      <c r="L110" s="24"/>
      <c r="M110" s="90"/>
    </row>
    <row r="111">
      <c r="A111" s="24"/>
      <c r="B111" s="24"/>
      <c r="C111" s="24"/>
      <c r="D111" s="24"/>
      <c r="E111" s="24"/>
      <c r="F111" s="24"/>
      <c r="G111" s="24"/>
      <c r="H111" s="24"/>
      <c r="I111" s="24"/>
      <c r="J111" s="24"/>
      <c r="K111" s="24"/>
      <c r="L111" s="24"/>
      <c r="M111" s="90"/>
    </row>
    <row r="112">
      <c r="A112" s="24"/>
      <c r="B112" s="24"/>
      <c r="C112" s="24"/>
      <c r="D112" s="24"/>
      <c r="E112" s="24"/>
      <c r="F112" s="24"/>
      <c r="G112" s="24"/>
      <c r="H112" s="24"/>
      <c r="I112" s="24"/>
      <c r="J112" s="24"/>
      <c r="K112" s="24"/>
      <c r="L112" s="24"/>
      <c r="M112" s="90"/>
    </row>
    <row r="113">
      <c r="A113" s="24"/>
      <c r="B113" s="24"/>
      <c r="C113" s="24"/>
      <c r="D113" s="24"/>
      <c r="E113" s="24"/>
      <c r="F113" s="24"/>
      <c r="G113" s="24"/>
      <c r="H113" s="24"/>
      <c r="I113" s="24"/>
      <c r="J113" s="24"/>
      <c r="K113" s="24"/>
      <c r="L113" s="24"/>
      <c r="M113" s="90"/>
    </row>
    <row r="114">
      <c r="A114" s="24"/>
      <c r="B114" s="24"/>
      <c r="C114" s="24"/>
      <c r="D114" s="24"/>
      <c r="E114" s="24"/>
      <c r="F114" s="24"/>
      <c r="G114" s="24"/>
      <c r="H114" s="24"/>
      <c r="I114" s="24"/>
      <c r="J114" s="24"/>
      <c r="K114" s="24"/>
      <c r="L114" s="24"/>
      <c r="M114" s="90"/>
    </row>
    <row r="115">
      <c r="A115" s="24"/>
      <c r="B115" s="24"/>
      <c r="C115" s="24"/>
      <c r="D115" s="24"/>
      <c r="E115" s="24"/>
      <c r="F115" s="24"/>
      <c r="G115" s="24"/>
      <c r="H115" s="24"/>
      <c r="I115" s="24"/>
      <c r="J115" s="24"/>
      <c r="K115" s="24"/>
      <c r="L115" s="24"/>
      <c r="M115" s="90"/>
    </row>
    <row r="116">
      <c r="A116" s="24"/>
      <c r="B116" s="24"/>
      <c r="C116" s="24"/>
      <c r="D116" s="24"/>
      <c r="E116" s="24"/>
      <c r="F116" s="24"/>
      <c r="G116" s="24"/>
      <c r="H116" s="24"/>
      <c r="I116" s="24"/>
      <c r="J116" s="24"/>
      <c r="K116" s="24"/>
      <c r="L116" s="24"/>
      <c r="M116" s="90"/>
    </row>
    <row r="117">
      <c r="A117" s="24"/>
      <c r="B117" s="24"/>
      <c r="C117" s="24"/>
      <c r="D117" s="24"/>
      <c r="E117" s="24"/>
      <c r="F117" s="24"/>
      <c r="G117" s="24"/>
      <c r="H117" s="24"/>
      <c r="I117" s="24"/>
      <c r="J117" s="24"/>
      <c r="K117" s="24"/>
      <c r="L117" s="24"/>
      <c r="M117" s="90"/>
    </row>
    <row r="118">
      <c r="A118" s="24"/>
      <c r="B118" s="24"/>
      <c r="C118" s="24"/>
      <c r="D118" s="24"/>
      <c r="E118" s="24"/>
      <c r="F118" s="24"/>
      <c r="G118" s="24"/>
      <c r="H118" s="24"/>
      <c r="I118" s="24"/>
      <c r="J118" s="24"/>
      <c r="K118" s="24"/>
      <c r="L118" s="24"/>
      <c r="M118" s="90"/>
    </row>
    <row r="119">
      <c r="A119" s="24"/>
      <c r="B119" s="24"/>
      <c r="C119" s="24"/>
      <c r="D119" s="24"/>
      <c r="E119" s="24"/>
      <c r="F119" s="24"/>
      <c r="G119" s="24"/>
      <c r="H119" s="24"/>
      <c r="I119" s="24"/>
      <c r="J119" s="24"/>
      <c r="K119" s="24"/>
      <c r="L119" s="24"/>
      <c r="M119" s="90"/>
    </row>
    <row r="120">
      <c r="A120" s="24"/>
      <c r="B120" s="24"/>
      <c r="C120" s="24"/>
      <c r="D120" s="24"/>
      <c r="E120" s="24"/>
      <c r="F120" s="24"/>
      <c r="G120" s="24"/>
      <c r="H120" s="24"/>
      <c r="I120" s="24"/>
      <c r="J120" s="24"/>
      <c r="K120" s="24"/>
      <c r="L120" s="24"/>
      <c r="M120" s="90"/>
    </row>
    <row r="121">
      <c r="A121" s="24"/>
      <c r="B121" s="24"/>
      <c r="C121" s="24"/>
      <c r="D121" s="24"/>
      <c r="E121" s="24"/>
      <c r="F121" s="24"/>
      <c r="G121" s="24"/>
      <c r="H121" s="24"/>
      <c r="I121" s="24"/>
      <c r="J121" s="24"/>
      <c r="K121" s="24"/>
      <c r="L121" s="24"/>
      <c r="M121" s="90"/>
    </row>
    <row r="122">
      <c r="A122" s="24"/>
      <c r="B122" s="24"/>
      <c r="C122" s="24"/>
      <c r="D122" s="24"/>
      <c r="E122" s="24"/>
      <c r="F122" s="24"/>
      <c r="G122" s="24"/>
      <c r="H122" s="24"/>
      <c r="I122" s="24"/>
      <c r="J122" s="24"/>
      <c r="K122" s="24"/>
      <c r="L122" s="24"/>
      <c r="M122" s="90"/>
    </row>
    <row r="123">
      <c r="A123" s="24"/>
      <c r="B123" s="24"/>
      <c r="C123" s="24"/>
      <c r="D123" s="24"/>
      <c r="E123" s="24"/>
      <c r="F123" s="24"/>
      <c r="G123" s="24"/>
      <c r="H123" s="24"/>
      <c r="I123" s="24"/>
      <c r="J123" s="24"/>
      <c r="K123" s="24"/>
      <c r="L123" s="24"/>
      <c r="M123" s="90"/>
    </row>
    <row r="124">
      <c r="A124" s="24"/>
      <c r="B124" s="24"/>
      <c r="C124" s="24"/>
      <c r="D124" s="24"/>
      <c r="E124" s="24"/>
      <c r="F124" s="24"/>
      <c r="G124" s="24"/>
      <c r="H124" s="24"/>
      <c r="I124" s="24"/>
      <c r="J124" s="24"/>
      <c r="K124" s="24"/>
      <c r="L124" s="24"/>
      <c r="M124" s="90"/>
    </row>
    <row r="125">
      <c r="A125" s="24"/>
      <c r="B125" s="24"/>
      <c r="C125" s="24"/>
      <c r="D125" s="24"/>
      <c r="E125" s="24"/>
      <c r="F125" s="24"/>
      <c r="G125" s="24"/>
      <c r="H125" s="24"/>
      <c r="I125" s="24"/>
      <c r="J125" s="24"/>
      <c r="K125" s="24"/>
      <c r="L125" s="24"/>
      <c r="M125" s="90"/>
    </row>
    <row r="126">
      <c r="A126" s="24"/>
      <c r="B126" s="24"/>
      <c r="C126" s="24"/>
      <c r="D126" s="24"/>
      <c r="E126" s="24"/>
      <c r="F126" s="24"/>
      <c r="G126" s="24"/>
      <c r="H126" s="24"/>
      <c r="I126" s="24"/>
      <c r="J126" s="24"/>
      <c r="K126" s="24"/>
      <c r="L126" s="24"/>
      <c r="M126" s="90"/>
    </row>
    <row r="127">
      <c r="A127" s="24"/>
      <c r="B127" s="24"/>
      <c r="C127" s="24"/>
      <c r="D127" s="24"/>
      <c r="E127" s="24"/>
      <c r="F127" s="24"/>
      <c r="G127" s="24"/>
      <c r="H127" s="24"/>
      <c r="I127" s="24"/>
      <c r="J127" s="24"/>
      <c r="K127" s="24"/>
      <c r="L127" s="24"/>
      <c r="M127" s="90"/>
    </row>
    <row r="128">
      <c r="A128" s="24"/>
      <c r="B128" s="24"/>
      <c r="C128" s="24"/>
      <c r="D128" s="24"/>
      <c r="E128" s="24"/>
      <c r="F128" s="24"/>
      <c r="G128" s="24"/>
      <c r="H128" s="24"/>
      <c r="I128" s="24"/>
      <c r="J128" s="24"/>
      <c r="K128" s="24"/>
      <c r="L128" s="24"/>
      <c r="M128" s="90"/>
    </row>
    <row r="129">
      <c r="A129" s="24"/>
      <c r="B129" s="24"/>
      <c r="C129" s="24"/>
      <c r="D129" s="24"/>
      <c r="E129" s="24"/>
      <c r="F129" s="24"/>
      <c r="G129" s="24"/>
      <c r="H129" s="24"/>
      <c r="I129" s="24"/>
      <c r="J129" s="24"/>
      <c r="K129" s="24"/>
      <c r="L129" s="24"/>
      <c r="M129" s="90"/>
    </row>
    <row r="130">
      <c r="A130" s="24"/>
      <c r="B130" s="24"/>
      <c r="C130" s="24"/>
      <c r="D130" s="24"/>
      <c r="E130" s="24"/>
      <c r="F130" s="24"/>
      <c r="G130" s="24"/>
      <c r="H130" s="24"/>
      <c r="I130" s="24"/>
      <c r="J130" s="24"/>
      <c r="K130" s="24"/>
      <c r="L130" s="24"/>
      <c r="M130" s="90"/>
    </row>
    <row r="131">
      <c r="A131" s="24"/>
      <c r="B131" s="24"/>
      <c r="C131" s="24"/>
      <c r="D131" s="24"/>
      <c r="E131" s="24"/>
      <c r="F131" s="24"/>
      <c r="G131" s="24"/>
      <c r="H131" s="24"/>
      <c r="I131" s="24"/>
      <c r="J131" s="24"/>
      <c r="K131" s="24"/>
      <c r="L131" s="24"/>
      <c r="M131" s="90"/>
    </row>
    <row r="132">
      <c r="A132" s="24"/>
      <c r="B132" s="24"/>
      <c r="C132" s="24"/>
      <c r="D132" s="24"/>
      <c r="E132" s="24"/>
      <c r="F132" s="24"/>
      <c r="G132" s="24"/>
      <c r="H132" s="24"/>
      <c r="I132" s="24"/>
      <c r="J132" s="24"/>
      <c r="K132" s="24"/>
      <c r="L132" s="24"/>
      <c r="M132" s="90"/>
    </row>
    <row r="133">
      <c r="A133" s="24"/>
      <c r="B133" s="24"/>
      <c r="C133" s="24"/>
      <c r="D133" s="24"/>
      <c r="E133" s="24"/>
      <c r="F133" s="24"/>
      <c r="G133" s="24"/>
      <c r="H133" s="24"/>
      <c r="I133" s="24"/>
      <c r="J133" s="24"/>
      <c r="K133" s="24"/>
      <c r="L133" s="24"/>
      <c r="M133" s="90"/>
    </row>
    <row r="134">
      <c r="A134" s="24"/>
      <c r="B134" s="24"/>
      <c r="C134" s="24"/>
      <c r="D134" s="24"/>
      <c r="E134" s="24"/>
      <c r="F134" s="24"/>
      <c r="G134" s="24"/>
      <c r="H134" s="24"/>
      <c r="I134" s="24"/>
      <c r="J134" s="24"/>
      <c r="K134" s="24"/>
      <c r="L134" s="24"/>
      <c r="M134" s="90"/>
    </row>
    <row r="135">
      <c r="A135" s="24"/>
      <c r="B135" s="24"/>
      <c r="C135" s="24"/>
      <c r="D135" s="24"/>
      <c r="E135" s="24"/>
      <c r="F135" s="24"/>
      <c r="G135" s="24"/>
      <c r="H135" s="24"/>
      <c r="I135" s="24"/>
      <c r="J135" s="24"/>
      <c r="K135" s="24"/>
      <c r="L135" s="24"/>
      <c r="M135" s="90"/>
    </row>
    <row r="136">
      <c r="A136" s="24"/>
      <c r="B136" s="24"/>
      <c r="C136" s="24"/>
      <c r="D136" s="24"/>
      <c r="E136" s="24"/>
      <c r="F136" s="24"/>
      <c r="G136" s="24"/>
      <c r="H136" s="24"/>
      <c r="I136" s="24"/>
      <c r="J136" s="24"/>
      <c r="K136" s="24"/>
      <c r="L136" s="24"/>
      <c r="M136" s="90"/>
    </row>
    <row r="137">
      <c r="A137" s="24"/>
      <c r="B137" s="24"/>
      <c r="C137" s="24"/>
      <c r="D137" s="24"/>
      <c r="E137" s="24"/>
      <c r="F137" s="24"/>
      <c r="G137" s="24"/>
      <c r="H137" s="24"/>
      <c r="I137" s="24"/>
      <c r="J137" s="24"/>
      <c r="K137" s="24"/>
      <c r="L137" s="24"/>
      <c r="M137" s="90"/>
    </row>
    <row r="138">
      <c r="A138" s="24"/>
      <c r="B138" s="24"/>
      <c r="C138" s="24"/>
      <c r="D138" s="24"/>
      <c r="E138" s="24"/>
      <c r="F138" s="24"/>
      <c r="G138" s="24"/>
      <c r="H138" s="24"/>
      <c r="I138" s="24"/>
      <c r="J138" s="24"/>
      <c r="K138" s="24"/>
      <c r="L138" s="24"/>
      <c r="M138" s="90"/>
    </row>
    <row r="139">
      <c r="A139" s="24"/>
      <c r="B139" s="24"/>
      <c r="C139" s="24"/>
      <c r="D139" s="24"/>
      <c r="E139" s="24"/>
      <c r="F139" s="24"/>
      <c r="G139" s="24"/>
      <c r="H139" s="24"/>
      <c r="I139" s="24"/>
      <c r="J139" s="24"/>
      <c r="K139" s="24"/>
      <c r="L139" s="24"/>
      <c r="M139" s="90"/>
    </row>
    <row r="140">
      <c r="A140" s="24"/>
      <c r="B140" s="24"/>
      <c r="C140" s="24"/>
      <c r="D140" s="24"/>
      <c r="E140" s="24"/>
      <c r="F140" s="24"/>
      <c r="G140" s="24"/>
      <c r="H140" s="24"/>
      <c r="I140" s="24"/>
      <c r="J140" s="24"/>
      <c r="K140" s="24"/>
      <c r="L140" s="24"/>
      <c r="M140" s="90"/>
    </row>
    <row r="141">
      <c r="A141" s="24"/>
      <c r="B141" s="24"/>
      <c r="C141" s="24"/>
      <c r="D141" s="24"/>
      <c r="E141" s="24"/>
      <c r="F141" s="24"/>
      <c r="G141" s="24"/>
      <c r="H141" s="24"/>
      <c r="I141" s="24"/>
      <c r="J141" s="24"/>
      <c r="K141" s="24"/>
      <c r="L141" s="24"/>
      <c r="M141" s="90"/>
    </row>
    <row r="142">
      <c r="A142" s="24"/>
      <c r="B142" s="24"/>
      <c r="C142" s="24"/>
      <c r="D142" s="24"/>
      <c r="E142" s="24"/>
      <c r="F142" s="24"/>
      <c r="G142" s="24"/>
      <c r="H142" s="24"/>
      <c r="I142" s="24"/>
      <c r="J142" s="24"/>
      <c r="K142" s="24"/>
      <c r="L142" s="24"/>
      <c r="M142" s="90"/>
    </row>
    <row r="143">
      <c r="A143" s="24"/>
      <c r="B143" s="24"/>
      <c r="C143" s="24"/>
      <c r="D143" s="24"/>
      <c r="E143" s="24"/>
      <c r="F143" s="24"/>
      <c r="G143" s="24"/>
      <c r="H143" s="24"/>
      <c r="I143" s="24"/>
      <c r="J143" s="24"/>
      <c r="K143" s="24"/>
      <c r="L143" s="24"/>
      <c r="M143" s="90"/>
    </row>
    <row r="144">
      <c r="A144" s="24"/>
      <c r="B144" s="24"/>
      <c r="C144" s="24"/>
      <c r="D144" s="24"/>
      <c r="E144" s="24"/>
      <c r="F144" s="24"/>
      <c r="G144" s="24"/>
      <c r="H144" s="24"/>
      <c r="I144" s="24"/>
      <c r="J144" s="24"/>
      <c r="K144" s="24"/>
      <c r="L144" s="24"/>
      <c r="M144" s="90"/>
    </row>
    <row r="145">
      <c r="A145" s="24"/>
      <c r="B145" s="24"/>
      <c r="C145" s="24"/>
      <c r="D145" s="24"/>
      <c r="E145" s="24"/>
      <c r="F145" s="24"/>
      <c r="G145" s="24"/>
      <c r="H145" s="24"/>
      <c r="I145" s="24"/>
      <c r="J145" s="24"/>
      <c r="K145" s="24"/>
      <c r="L145" s="24"/>
      <c r="M145" s="90"/>
    </row>
    <row r="146">
      <c r="A146" s="24"/>
      <c r="B146" s="24"/>
      <c r="C146" s="24"/>
      <c r="D146" s="24"/>
      <c r="E146" s="24"/>
      <c r="F146" s="24"/>
      <c r="G146" s="24"/>
      <c r="H146" s="24"/>
      <c r="I146" s="24"/>
      <c r="J146" s="24"/>
      <c r="K146" s="24"/>
      <c r="L146" s="24"/>
      <c r="M146" s="90"/>
    </row>
    <row r="147">
      <c r="A147" s="24"/>
      <c r="B147" s="24"/>
      <c r="C147" s="24"/>
      <c r="D147" s="24"/>
      <c r="E147" s="24"/>
      <c r="F147" s="24"/>
      <c r="G147" s="24"/>
      <c r="H147" s="24"/>
      <c r="I147" s="24"/>
      <c r="J147" s="24"/>
      <c r="K147" s="24"/>
      <c r="L147" s="24"/>
      <c r="M147" s="90"/>
    </row>
    <row r="148">
      <c r="A148" s="24"/>
      <c r="B148" s="24"/>
      <c r="C148" s="24"/>
      <c r="D148" s="24"/>
      <c r="E148" s="24"/>
      <c r="F148" s="24"/>
      <c r="G148" s="24"/>
      <c r="H148" s="24"/>
      <c r="I148" s="24"/>
      <c r="J148" s="24"/>
      <c r="K148" s="24"/>
      <c r="L148" s="24"/>
      <c r="M148" s="90"/>
    </row>
    <row r="149">
      <c r="A149" s="24"/>
      <c r="B149" s="24"/>
      <c r="C149" s="24"/>
      <c r="D149" s="24"/>
      <c r="E149" s="24"/>
      <c r="F149" s="24"/>
      <c r="G149" s="24"/>
      <c r="H149" s="24"/>
      <c r="I149" s="24"/>
      <c r="J149" s="24"/>
      <c r="K149" s="24"/>
      <c r="L149" s="24"/>
      <c r="M149" s="90"/>
    </row>
    <row r="150">
      <c r="A150" s="24"/>
      <c r="B150" s="24"/>
      <c r="C150" s="24"/>
      <c r="D150" s="24"/>
      <c r="E150" s="24"/>
      <c r="F150" s="24"/>
      <c r="G150" s="24"/>
      <c r="H150" s="24"/>
      <c r="I150" s="24"/>
      <c r="J150" s="24"/>
      <c r="K150" s="24"/>
      <c r="L150" s="24"/>
      <c r="M150" s="90"/>
    </row>
    <row r="151">
      <c r="A151" s="24"/>
      <c r="B151" s="24"/>
      <c r="C151" s="24"/>
      <c r="D151" s="24"/>
      <c r="E151" s="24"/>
      <c r="F151" s="24"/>
      <c r="G151" s="24"/>
      <c r="H151" s="24"/>
      <c r="I151" s="24"/>
      <c r="J151" s="24"/>
      <c r="K151" s="24"/>
      <c r="L151" s="24"/>
      <c r="M151" s="90"/>
    </row>
    <row r="152">
      <c r="A152" s="24"/>
      <c r="B152" s="24"/>
      <c r="C152" s="24"/>
      <c r="D152" s="24"/>
      <c r="E152" s="24"/>
      <c r="F152" s="24"/>
      <c r="G152" s="24"/>
      <c r="H152" s="24"/>
      <c r="I152" s="24"/>
      <c r="J152" s="24"/>
      <c r="K152" s="24"/>
      <c r="L152" s="24"/>
      <c r="M152" s="90"/>
    </row>
    <row r="153">
      <c r="A153" s="24"/>
      <c r="B153" s="24"/>
      <c r="C153" s="24"/>
      <c r="D153" s="24"/>
      <c r="E153" s="24"/>
      <c r="F153" s="24"/>
      <c r="G153" s="24"/>
      <c r="H153" s="24"/>
      <c r="I153" s="24"/>
      <c r="J153" s="24"/>
      <c r="K153" s="24"/>
      <c r="L153" s="24"/>
      <c r="M153" s="90"/>
    </row>
    <row r="154">
      <c r="A154" s="24"/>
      <c r="B154" s="24"/>
      <c r="C154" s="24"/>
      <c r="D154" s="24"/>
      <c r="E154" s="24"/>
      <c r="F154" s="24"/>
      <c r="G154" s="24"/>
      <c r="H154" s="24"/>
      <c r="I154" s="24"/>
      <c r="J154" s="24"/>
      <c r="K154" s="24"/>
      <c r="L154" s="24"/>
      <c r="M154" s="90"/>
    </row>
    <row r="155">
      <c r="A155" s="24"/>
      <c r="B155" s="24"/>
      <c r="C155" s="24"/>
      <c r="D155" s="24"/>
      <c r="E155" s="24"/>
      <c r="F155" s="24"/>
      <c r="G155" s="24"/>
      <c r="H155" s="24"/>
      <c r="I155" s="24"/>
      <c r="J155" s="24"/>
      <c r="K155" s="24"/>
      <c r="L155" s="24"/>
      <c r="M155" s="90"/>
    </row>
    <row r="156">
      <c r="A156" s="24"/>
      <c r="B156" s="24"/>
      <c r="C156" s="24"/>
      <c r="D156" s="24"/>
      <c r="E156" s="24"/>
      <c r="F156" s="24"/>
      <c r="G156" s="24"/>
      <c r="H156" s="24"/>
      <c r="I156" s="24"/>
      <c r="J156" s="24"/>
      <c r="K156" s="24"/>
      <c r="L156" s="24"/>
      <c r="M156" s="90"/>
    </row>
    <row r="157">
      <c r="A157" s="24"/>
      <c r="B157" s="24"/>
      <c r="C157" s="24"/>
      <c r="D157" s="24"/>
      <c r="E157" s="24"/>
      <c r="F157" s="24"/>
      <c r="G157" s="24"/>
      <c r="H157" s="24"/>
      <c r="I157" s="24"/>
      <c r="J157" s="24"/>
      <c r="K157" s="24"/>
      <c r="L157" s="24"/>
      <c r="M157" s="90"/>
    </row>
    <row r="158">
      <c r="A158" s="24"/>
      <c r="B158" s="24"/>
      <c r="C158" s="24"/>
      <c r="D158" s="24"/>
      <c r="E158" s="24"/>
      <c r="F158" s="24"/>
      <c r="G158" s="24"/>
      <c r="H158" s="24"/>
      <c r="I158" s="24"/>
      <c r="J158" s="24"/>
      <c r="K158" s="24"/>
      <c r="L158" s="24"/>
      <c r="M158" s="90"/>
    </row>
    <row r="159">
      <c r="A159" s="24"/>
      <c r="B159" s="24"/>
      <c r="C159" s="24"/>
      <c r="D159" s="24"/>
      <c r="E159" s="24"/>
      <c r="F159" s="24"/>
      <c r="G159" s="24"/>
      <c r="H159" s="24"/>
      <c r="I159" s="24"/>
      <c r="J159" s="24"/>
      <c r="K159" s="24"/>
      <c r="L159" s="24"/>
      <c r="M159" s="90"/>
    </row>
    <row r="160">
      <c r="A160" s="24"/>
      <c r="B160" s="24"/>
      <c r="C160" s="24"/>
      <c r="D160" s="24"/>
      <c r="E160" s="24"/>
      <c r="F160" s="24"/>
      <c r="G160" s="24"/>
      <c r="H160" s="24"/>
      <c r="I160" s="24"/>
      <c r="J160" s="24"/>
      <c r="K160" s="24"/>
      <c r="L160" s="24"/>
      <c r="M160" s="90"/>
    </row>
    <row r="161">
      <c r="A161" s="24"/>
      <c r="B161" s="24"/>
      <c r="C161" s="24"/>
      <c r="D161" s="24"/>
      <c r="E161" s="24"/>
      <c r="F161" s="24"/>
      <c r="G161" s="24"/>
      <c r="H161" s="24"/>
      <c r="I161" s="24"/>
      <c r="J161" s="24"/>
      <c r="K161" s="24"/>
      <c r="L161" s="24"/>
      <c r="M161" s="90"/>
    </row>
    <row r="162">
      <c r="A162" s="24"/>
      <c r="B162" s="24"/>
      <c r="C162" s="24"/>
      <c r="D162" s="24"/>
      <c r="E162" s="24"/>
      <c r="F162" s="24"/>
      <c r="G162" s="24"/>
      <c r="H162" s="24"/>
      <c r="I162" s="24"/>
      <c r="J162" s="24"/>
      <c r="K162" s="24"/>
      <c r="L162" s="24"/>
      <c r="M162" s="90"/>
    </row>
    <row r="163">
      <c r="A163" s="24"/>
      <c r="B163" s="24"/>
      <c r="C163" s="24"/>
      <c r="D163" s="24"/>
      <c r="E163" s="24"/>
      <c r="F163" s="24"/>
      <c r="G163" s="24"/>
      <c r="H163" s="24"/>
      <c r="I163" s="24"/>
      <c r="J163" s="24"/>
      <c r="K163" s="24"/>
      <c r="L163" s="24"/>
      <c r="M163" s="90"/>
    </row>
    <row r="164">
      <c r="A164" s="24"/>
      <c r="B164" s="24"/>
      <c r="C164" s="24"/>
      <c r="D164" s="24"/>
      <c r="E164" s="24"/>
      <c r="F164" s="24"/>
      <c r="G164" s="24"/>
      <c r="H164" s="24"/>
      <c r="I164" s="24"/>
      <c r="J164" s="24"/>
      <c r="K164" s="24"/>
      <c r="L164" s="24"/>
      <c r="M164" s="90"/>
    </row>
    <row r="165">
      <c r="A165" s="24"/>
      <c r="B165" s="24"/>
      <c r="C165" s="24"/>
      <c r="D165" s="24"/>
      <c r="E165" s="24"/>
      <c r="F165" s="24"/>
      <c r="G165" s="24"/>
      <c r="H165" s="24"/>
      <c r="I165" s="24"/>
      <c r="J165" s="24"/>
      <c r="K165" s="24"/>
      <c r="L165" s="24"/>
      <c r="M165" s="90"/>
    </row>
    <row r="166">
      <c r="A166" s="24"/>
      <c r="B166" s="24"/>
      <c r="C166" s="24"/>
      <c r="D166" s="24"/>
      <c r="E166" s="24"/>
      <c r="F166" s="24"/>
      <c r="G166" s="24"/>
      <c r="H166" s="24"/>
      <c r="I166" s="24"/>
      <c r="J166" s="24"/>
      <c r="K166" s="24"/>
      <c r="L166" s="24"/>
      <c r="M166" s="90"/>
    </row>
    <row r="167">
      <c r="A167" s="24"/>
      <c r="B167" s="24"/>
      <c r="C167" s="24"/>
      <c r="D167" s="24"/>
      <c r="E167" s="24"/>
      <c r="F167" s="24"/>
      <c r="G167" s="24"/>
      <c r="H167" s="24"/>
      <c r="I167" s="24"/>
      <c r="J167" s="24"/>
      <c r="K167" s="24"/>
      <c r="L167" s="24"/>
      <c r="M167" s="90"/>
    </row>
    <row r="168">
      <c r="A168" s="24"/>
      <c r="B168" s="24"/>
      <c r="C168" s="24"/>
      <c r="D168" s="24"/>
      <c r="E168" s="24"/>
      <c r="F168" s="24"/>
      <c r="G168" s="24"/>
      <c r="H168" s="24"/>
      <c r="I168" s="24"/>
      <c r="J168" s="24"/>
      <c r="K168" s="24"/>
      <c r="L168" s="24"/>
      <c r="M168" s="90"/>
    </row>
    <row r="169">
      <c r="A169" s="24"/>
      <c r="B169" s="24"/>
      <c r="C169" s="24"/>
      <c r="D169" s="24"/>
      <c r="E169" s="24"/>
      <c r="F169" s="24"/>
      <c r="G169" s="24"/>
      <c r="H169" s="24"/>
      <c r="I169" s="24"/>
      <c r="J169" s="24"/>
      <c r="K169" s="24"/>
      <c r="L169" s="24"/>
      <c r="M169" s="90"/>
    </row>
    <row r="170">
      <c r="A170" s="24"/>
      <c r="B170" s="24"/>
      <c r="C170" s="24"/>
      <c r="D170" s="24"/>
      <c r="E170" s="24"/>
      <c r="F170" s="24"/>
      <c r="G170" s="24"/>
      <c r="H170" s="24"/>
      <c r="I170" s="24"/>
      <c r="J170" s="24"/>
      <c r="K170" s="24"/>
      <c r="L170" s="24"/>
      <c r="M170" s="90"/>
    </row>
    <row r="171">
      <c r="A171" s="24"/>
      <c r="B171" s="24"/>
      <c r="C171" s="24"/>
      <c r="D171" s="24"/>
      <c r="E171" s="24"/>
      <c r="F171" s="24"/>
      <c r="G171" s="24"/>
      <c r="H171" s="24"/>
      <c r="I171" s="24"/>
      <c r="J171" s="24"/>
      <c r="K171" s="24"/>
      <c r="L171" s="24"/>
      <c r="M171" s="90"/>
    </row>
    <row r="172">
      <c r="A172" s="24"/>
      <c r="B172" s="24"/>
      <c r="C172" s="24"/>
      <c r="D172" s="24"/>
      <c r="E172" s="24"/>
      <c r="F172" s="24"/>
      <c r="G172" s="24"/>
      <c r="H172" s="24"/>
      <c r="I172" s="24"/>
      <c r="J172" s="24"/>
      <c r="K172" s="24"/>
      <c r="L172" s="24"/>
      <c r="M172" s="90"/>
    </row>
    <row r="173">
      <c r="A173" s="24"/>
      <c r="B173" s="24"/>
      <c r="C173" s="24"/>
      <c r="D173" s="24"/>
      <c r="E173" s="24"/>
      <c r="F173" s="24"/>
      <c r="G173" s="24"/>
      <c r="H173" s="24"/>
      <c r="I173" s="24"/>
      <c r="J173" s="24"/>
      <c r="K173" s="24"/>
      <c r="L173" s="24"/>
      <c r="M173" s="90"/>
    </row>
    <row r="174">
      <c r="A174" s="24"/>
      <c r="B174" s="24"/>
      <c r="C174" s="24"/>
      <c r="D174" s="24"/>
      <c r="E174" s="24"/>
      <c r="F174" s="24"/>
      <c r="G174" s="24"/>
      <c r="H174" s="24"/>
      <c r="I174" s="24"/>
      <c r="J174" s="24"/>
      <c r="K174" s="24"/>
      <c r="L174" s="24"/>
      <c r="M174" s="90"/>
    </row>
    <row r="175">
      <c r="A175" s="24"/>
      <c r="B175" s="24"/>
      <c r="C175" s="24"/>
      <c r="D175" s="24"/>
      <c r="E175" s="24"/>
      <c r="F175" s="24"/>
      <c r="G175" s="24"/>
      <c r="H175" s="24"/>
      <c r="I175" s="24"/>
      <c r="J175" s="24"/>
      <c r="K175" s="24"/>
      <c r="L175" s="24"/>
      <c r="M175" s="90"/>
    </row>
    <row r="176">
      <c r="A176" s="24"/>
      <c r="B176" s="24"/>
      <c r="C176" s="24"/>
      <c r="D176" s="24"/>
      <c r="E176" s="24"/>
      <c r="F176" s="24"/>
      <c r="G176" s="24"/>
      <c r="H176" s="24"/>
      <c r="I176" s="24"/>
      <c r="J176" s="24"/>
      <c r="K176" s="24"/>
      <c r="L176" s="24"/>
      <c r="M176" s="90"/>
    </row>
    <row r="177">
      <c r="A177" s="24"/>
      <c r="B177" s="24"/>
      <c r="C177" s="24"/>
      <c r="D177" s="24"/>
      <c r="E177" s="24"/>
      <c r="F177" s="24"/>
      <c r="G177" s="24"/>
      <c r="H177" s="24"/>
      <c r="I177" s="24"/>
      <c r="J177" s="24"/>
      <c r="K177" s="24"/>
      <c r="L177" s="24"/>
      <c r="M177" s="90"/>
    </row>
    <row r="178">
      <c r="A178" s="24"/>
      <c r="B178" s="24"/>
      <c r="C178" s="24"/>
      <c r="D178" s="24"/>
      <c r="E178" s="24"/>
      <c r="F178" s="24"/>
      <c r="G178" s="24"/>
      <c r="H178" s="24"/>
      <c r="I178" s="24"/>
      <c r="J178" s="24"/>
      <c r="K178" s="24"/>
      <c r="L178" s="24"/>
      <c r="M178" s="90"/>
    </row>
    <row r="179">
      <c r="A179" s="24"/>
      <c r="B179" s="24"/>
      <c r="C179" s="24"/>
      <c r="D179" s="24"/>
      <c r="E179" s="24"/>
      <c r="F179" s="24"/>
      <c r="G179" s="24"/>
      <c r="H179" s="24"/>
      <c r="I179" s="24"/>
      <c r="J179" s="24"/>
      <c r="K179" s="24"/>
      <c r="L179" s="24"/>
      <c r="M179" s="90"/>
    </row>
    <row r="180">
      <c r="A180" s="24"/>
      <c r="B180" s="24"/>
      <c r="C180" s="24"/>
      <c r="D180" s="24"/>
      <c r="E180" s="24"/>
      <c r="F180" s="24"/>
      <c r="G180" s="24"/>
      <c r="H180" s="24"/>
      <c r="I180" s="24"/>
      <c r="J180" s="24"/>
      <c r="K180" s="24"/>
      <c r="L180" s="24"/>
      <c r="M180" s="90"/>
    </row>
    <row r="181">
      <c r="A181" s="24"/>
      <c r="B181" s="24"/>
      <c r="C181" s="24"/>
      <c r="D181" s="24"/>
      <c r="E181" s="24"/>
      <c r="F181" s="24"/>
      <c r="G181" s="24"/>
      <c r="H181" s="24"/>
      <c r="I181" s="24"/>
      <c r="J181" s="24"/>
      <c r="K181" s="24"/>
      <c r="L181" s="24"/>
      <c r="M181" s="90"/>
    </row>
    <row r="182">
      <c r="A182" s="24"/>
      <c r="B182" s="24"/>
      <c r="C182" s="24"/>
      <c r="D182" s="24"/>
      <c r="E182" s="24"/>
      <c r="F182" s="24"/>
      <c r="G182" s="24"/>
      <c r="H182" s="24"/>
      <c r="I182" s="24"/>
      <c r="J182" s="24"/>
      <c r="K182" s="24"/>
      <c r="L182" s="24"/>
      <c r="M182" s="90"/>
    </row>
    <row r="183">
      <c r="A183" s="24"/>
      <c r="B183" s="24"/>
      <c r="C183" s="24"/>
      <c r="D183" s="24"/>
      <c r="E183" s="24"/>
      <c r="F183" s="24"/>
      <c r="G183" s="24"/>
      <c r="H183" s="24"/>
      <c r="I183" s="24"/>
      <c r="J183" s="24"/>
      <c r="K183" s="24"/>
      <c r="L183" s="24"/>
      <c r="M183" s="90"/>
    </row>
    <row r="184">
      <c r="A184" s="24"/>
      <c r="B184" s="24"/>
      <c r="C184" s="24"/>
      <c r="D184" s="24"/>
      <c r="E184" s="24"/>
      <c r="F184" s="24"/>
      <c r="G184" s="24"/>
      <c r="H184" s="24"/>
      <c r="I184" s="24"/>
      <c r="J184" s="24"/>
      <c r="K184" s="24"/>
      <c r="L184" s="24"/>
      <c r="M184" s="90"/>
    </row>
    <row r="185">
      <c r="A185" s="24"/>
      <c r="B185" s="24"/>
      <c r="C185" s="24"/>
      <c r="D185" s="24"/>
      <c r="E185" s="24"/>
      <c r="F185" s="24"/>
      <c r="G185" s="24"/>
      <c r="H185" s="24"/>
      <c r="I185" s="24"/>
      <c r="J185" s="24"/>
      <c r="K185" s="24"/>
      <c r="L185" s="24"/>
      <c r="M185" s="90"/>
    </row>
    <row r="186">
      <c r="A186" s="24"/>
      <c r="B186" s="24"/>
      <c r="C186" s="24"/>
      <c r="D186" s="24"/>
      <c r="E186" s="24"/>
      <c r="F186" s="24"/>
      <c r="G186" s="24"/>
      <c r="H186" s="24"/>
      <c r="I186" s="24"/>
      <c r="J186" s="24"/>
      <c r="K186" s="24"/>
      <c r="L186" s="24"/>
      <c r="M186" s="90"/>
    </row>
    <row r="187">
      <c r="A187" s="24"/>
      <c r="B187" s="24"/>
      <c r="C187" s="24"/>
      <c r="D187" s="24"/>
      <c r="E187" s="24"/>
      <c r="F187" s="24"/>
      <c r="G187" s="24"/>
      <c r="H187" s="24"/>
      <c r="I187" s="24"/>
      <c r="J187" s="24"/>
      <c r="K187" s="24"/>
      <c r="L187" s="24"/>
      <c r="M187" s="90"/>
    </row>
    <row r="188">
      <c r="A188" s="24"/>
      <c r="B188" s="24"/>
      <c r="C188" s="24"/>
      <c r="D188" s="24"/>
      <c r="E188" s="24"/>
      <c r="F188" s="24"/>
      <c r="G188" s="24"/>
      <c r="H188" s="24"/>
      <c r="I188" s="24"/>
      <c r="J188" s="24"/>
      <c r="K188" s="24"/>
      <c r="L188" s="24"/>
      <c r="M188" s="90"/>
    </row>
    <row r="189">
      <c r="A189" s="24"/>
      <c r="B189" s="24"/>
      <c r="C189" s="24"/>
      <c r="D189" s="24"/>
      <c r="E189" s="24"/>
      <c r="F189" s="24"/>
      <c r="G189" s="24"/>
      <c r="H189" s="24"/>
      <c r="I189" s="24"/>
      <c r="J189" s="24"/>
      <c r="K189" s="24"/>
      <c r="L189" s="24"/>
      <c r="M189" s="90"/>
    </row>
    <row r="190">
      <c r="A190" s="24"/>
      <c r="B190" s="24"/>
      <c r="C190" s="24"/>
      <c r="D190" s="24"/>
      <c r="E190" s="24"/>
      <c r="F190" s="24"/>
      <c r="G190" s="24"/>
      <c r="H190" s="24"/>
      <c r="I190" s="24"/>
      <c r="J190" s="24"/>
      <c r="K190" s="24"/>
      <c r="L190" s="24"/>
      <c r="M190" s="90"/>
    </row>
    <row r="191">
      <c r="A191" s="24"/>
      <c r="B191" s="24"/>
      <c r="C191" s="24"/>
      <c r="D191" s="24"/>
      <c r="E191" s="24"/>
      <c r="F191" s="24"/>
      <c r="G191" s="24"/>
      <c r="H191" s="24"/>
      <c r="I191" s="24"/>
      <c r="J191" s="24"/>
      <c r="K191" s="24"/>
      <c r="L191" s="24"/>
      <c r="M191" s="90"/>
    </row>
    <row r="192">
      <c r="A192" s="24"/>
      <c r="B192" s="24"/>
      <c r="C192" s="24"/>
      <c r="D192" s="24"/>
      <c r="E192" s="24"/>
      <c r="F192" s="24"/>
      <c r="G192" s="24"/>
      <c r="H192" s="24"/>
      <c r="I192" s="24"/>
      <c r="J192" s="24"/>
      <c r="K192" s="24"/>
      <c r="L192" s="24"/>
      <c r="M192" s="90"/>
    </row>
    <row r="193">
      <c r="A193" s="24"/>
      <c r="B193" s="24"/>
      <c r="C193" s="24"/>
      <c r="D193" s="24"/>
      <c r="E193" s="24"/>
      <c r="F193" s="24"/>
      <c r="G193" s="24"/>
      <c r="H193" s="24"/>
      <c r="I193" s="24"/>
      <c r="J193" s="24"/>
      <c r="K193" s="24"/>
      <c r="L193" s="24"/>
      <c r="M193" s="90"/>
    </row>
    <row r="194">
      <c r="A194" s="24"/>
      <c r="B194" s="24"/>
      <c r="C194" s="24"/>
      <c r="D194" s="24"/>
      <c r="E194" s="24"/>
      <c r="F194" s="24"/>
      <c r="G194" s="24"/>
      <c r="H194" s="24"/>
      <c r="I194" s="24"/>
      <c r="J194" s="24"/>
      <c r="K194" s="24"/>
      <c r="L194" s="24"/>
      <c r="M194" s="90"/>
    </row>
    <row r="195">
      <c r="A195" s="24"/>
      <c r="B195" s="24"/>
      <c r="C195" s="24"/>
      <c r="D195" s="24"/>
      <c r="E195" s="24"/>
      <c r="F195" s="24"/>
      <c r="G195" s="24"/>
      <c r="H195" s="24"/>
      <c r="I195" s="24"/>
      <c r="J195" s="24"/>
      <c r="K195" s="24"/>
      <c r="L195" s="24"/>
      <c r="M195" s="90"/>
    </row>
    <row r="196">
      <c r="A196" s="24"/>
      <c r="B196" s="24"/>
      <c r="C196" s="24"/>
      <c r="D196" s="24"/>
      <c r="E196" s="24"/>
      <c r="F196" s="24"/>
      <c r="G196" s="24"/>
      <c r="H196" s="24"/>
      <c r="I196" s="24"/>
      <c r="J196" s="24"/>
      <c r="K196" s="24"/>
      <c r="L196" s="24"/>
      <c r="M196" s="90"/>
    </row>
    <row r="197">
      <c r="A197" s="24"/>
      <c r="B197" s="24"/>
      <c r="C197" s="24"/>
      <c r="D197" s="24"/>
      <c r="E197" s="24"/>
      <c r="F197" s="24"/>
      <c r="G197" s="24"/>
      <c r="H197" s="24"/>
      <c r="I197" s="24"/>
      <c r="J197" s="24"/>
      <c r="K197" s="24"/>
      <c r="L197" s="24"/>
      <c r="M197" s="90"/>
    </row>
    <row r="198">
      <c r="A198" s="24"/>
      <c r="B198" s="24"/>
      <c r="C198" s="24"/>
      <c r="D198" s="24"/>
      <c r="E198" s="24"/>
      <c r="F198" s="24"/>
      <c r="G198" s="24"/>
      <c r="H198" s="24"/>
      <c r="I198" s="24"/>
      <c r="J198" s="24"/>
      <c r="K198" s="24"/>
      <c r="L198" s="24"/>
      <c r="M198" s="90"/>
    </row>
    <row r="199">
      <c r="A199" s="24"/>
      <c r="B199" s="24"/>
      <c r="C199" s="24"/>
      <c r="D199" s="24"/>
      <c r="E199" s="24"/>
      <c r="F199" s="24"/>
      <c r="G199" s="24"/>
      <c r="H199" s="24"/>
      <c r="I199" s="24"/>
      <c r="J199" s="24"/>
      <c r="K199" s="24"/>
      <c r="L199" s="24"/>
      <c r="M199" s="90"/>
    </row>
    <row r="200">
      <c r="A200" s="24"/>
      <c r="B200" s="24"/>
      <c r="C200" s="24"/>
      <c r="D200" s="24"/>
      <c r="E200" s="24"/>
      <c r="F200" s="24"/>
      <c r="G200" s="24"/>
      <c r="H200" s="24"/>
      <c r="I200" s="24"/>
      <c r="J200" s="24"/>
      <c r="K200" s="24"/>
      <c r="L200" s="24"/>
      <c r="M200" s="90"/>
    </row>
    <row r="201">
      <c r="A201" s="24"/>
      <c r="B201" s="24"/>
      <c r="C201" s="24"/>
      <c r="D201" s="24"/>
      <c r="E201" s="24"/>
      <c r="F201" s="24"/>
      <c r="G201" s="24"/>
      <c r="H201" s="24"/>
      <c r="I201" s="24"/>
      <c r="J201" s="24"/>
      <c r="K201" s="24"/>
      <c r="L201" s="24"/>
      <c r="M201" s="90"/>
    </row>
    <row r="202">
      <c r="A202" s="24"/>
      <c r="B202" s="24"/>
      <c r="C202" s="24"/>
      <c r="D202" s="24"/>
      <c r="E202" s="24"/>
      <c r="F202" s="24"/>
      <c r="G202" s="24"/>
      <c r="H202" s="24"/>
      <c r="I202" s="24"/>
      <c r="J202" s="24"/>
      <c r="K202" s="24"/>
      <c r="L202" s="24"/>
      <c r="M202" s="90"/>
    </row>
    <row r="203">
      <c r="A203" s="24"/>
      <c r="B203" s="24"/>
      <c r="C203" s="24"/>
      <c r="D203" s="24"/>
      <c r="E203" s="24"/>
      <c r="F203" s="24"/>
      <c r="G203" s="24"/>
      <c r="H203" s="24"/>
      <c r="I203" s="24"/>
      <c r="J203" s="24"/>
      <c r="K203" s="24"/>
      <c r="L203" s="24"/>
      <c r="M203" s="90"/>
    </row>
    <row r="204">
      <c r="A204" s="24"/>
      <c r="B204" s="24"/>
      <c r="C204" s="24"/>
      <c r="D204" s="24"/>
      <c r="E204" s="24"/>
      <c r="F204" s="24"/>
      <c r="G204" s="24"/>
      <c r="H204" s="24"/>
      <c r="I204" s="24"/>
      <c r="J204" s="24"/>
      <c r="K204" s="24"/>
      <c r="L204" s="24"/>
      <c r="M204" s="90"/>
    </row>
    <row r="205">
      <c r="A205" s="24"/>
      <c r="B205" s="24"/>
      <c r="C205" s="24"/>
      <c r="D205" s="24"/>
      <c r="E205" s="24"/>
      <c r="F205" s="24"/>
      <c r="G205" s="24"/>
      <c r="H205" s="24"/>
      <c r="I205" s="24"/>
      <c r="J205" s="24"/>
      <c r="K205" s="24"/>
      <c r="L205" s="24"/>
      <c r="M205" s="90"/>
    </row>
    <row r="206">
      <c r="A206" s="24"/>
      <c r="B206" s="24"/>
      <c r="C206" s="24"/>
      <c r="D206" s="24"/>
      <c r="E206" s="24"/>
      <c r="F206" s="24"/>
      <c r="G206" s="24"/>
      <c r="H206" s="24"/>
      <c r="I206" s="24"/>
      <c r="J206" s="24"/>
      <c r="K206" s="24"/>
      <c r="L206" s="24"/>
      <c r="M206" s="90"/>
    </row>
    <row r="207">
      <c r="A207" s="24"/>
      <c r="B207" s="24"/>
      <c r="C207" s="24"/>
      <c r="D207" s="24"/>
      <c r="E207" s="24"/>
      <c r="F207" s="24"/>
      <c r="G207" s="24"/>
      <c r="H207" s="24"/>
      <c r="I207" s="24"/>
      <c r="J207" s="24"/>
      <c r="K207" s="24"/>
      <c r="L207" s="24"/>
      <c r="M207" s="90"/>
    </row>
    <row r="208">
      <c r="A208" s="24"/>
      <c r="B208" s="24"/>
      <c r="C208" s="24"/>
      <c r="D208" s="24"/>
      <c r="E208" s="24"/>
      <c r="F208" s="24"/>
      <c r="G208" s="24"/>
      <c r="H208" s="24"/>
      <c r="I208" s="24"/>
      <c r="J208" s="24"/>
      <c r="K208" s="24"/>
      <c r="L208" s="24"/>
      <c r="M208" s="90"/>
    </row>
    <row r="209">
      <c r="A209" s="24"/>
      <c r="B209" s="24"/>
      <c r="C209" s="24"/>
      <c r="D209" s="24"/>
      <c r="E209" s="24"/>
      <c r="F209" s="24"/>
      <c r="G209" s="24"/>
      <c r="H209" s="24"/>
      <c r="I209" s="24"/>
      <c r="J209" s="24"/>
      <c r="K209" s="24"/>
      <c r="L209" s="24"/>
      <c r="M209" s="90"/>
    </row>
    <row r="210">
      <c r="A210" s="24"/>
      <c r="B210" s="24"/>
      <c r="C210" s="24"/>
      <c r="D210" s="24"/>
      <c r="E210" s="24"/>
      <c r="F210" s="24"/>
      <c r="G210" s="24"/>
      <c r="H210" s="24"/>
      <c r="I210" s="24"/>
      <c r="J210" s="24"/>
      <c r="K210" s="24"/>
      <c r="L210" s="24"/>
      <c r="M210" s="90"/>
    </row>
    <row r="211">
      <c r="A211" s="24"/>
      <c r="B211" s="24"/>
      <c r="C211" s="24"/>
      <c r="D211" s="24"/>
      <c r="E211" s="24"/>
      <c r="F211" s="24"/>
      <c r="G211" s="24"/>
      <c r="H211" s="24"/>
      <c r="I211" s="24"/>
      <c r="J211" s="24"/>
      <c r="K211" s="24"/>
      <c r="L211" s="24"/>
      <c r="M211" s="90"/>
    </row>
    <row r="212">
      <c r="A212" s="24"/>
      <c r="B212" s="24"/>
      <c r="C212" s="24"/>
      <c r="D212" s="24"/>
      <c r="E212" s="24"/>
      <c r="F212" s="24"/>
      <c r="G212" s="24"/>
      <c r="H212" s="24"/>
      <c r="I212" s="24"/>
      <c r="J212" s="24"/>
      <c r="K212" s="24"/>
      <c r="L212" s="24"/>
      <c r="M212" s="90"/>
    </row>
    <row r="213">
      <c r="A213" s="24"/>
      <c r="B213" s="24"/>
      <c r="C213" s="24"/>
      <c r="D213" s="24"/>
      <c r="E213" s="24"/>
      <c r="F213" s="24"/>
      <c r="G213" s="24"/>
      <c r="H213" s="24"/>
      <c r="I213" s="24"/>
      <c r="J213" s="24"/>
      <c r="K213" s="24"/>
      <c r="L213" s="24"/>
      <c r="M213" s="90"/>
    </row>
    <row r="214">
      <c r="A214" s="24"/>
      <c r="B214" s="24"/>
      <c r="C214" s="24"/>
      <c r="D214" s="24"/>
      <c r="E214" s="24"/>
      <c r="F214" s="24"/>
      <c r="G214" s="24"/>
      <c r="H214" s="24"/>
      <c r="I214" s="24"/>
      <c r="J214" s="24"/>
      <c r="K214" s="24"/>
      <c r="L214" s="24"/>
      <c r="M214" s="90"/>
    </row>
    <row r="215">
      <c r="A215" s="24"/>
      <c r="B215" s="24"/>
      <c r="C215" s="24"/>
      <c r="D215" s="24"/>
      <c r="E215" s="24"/>
      <c r="F215" s="24"/>
      <c r="G215" s="24"/>
      <c r="H215" s="24"/>
      <c r="I215" s="24"/>
      <c r="J215" s="24"/>
      <c r="K215" s="24"/>
      <c r="L215" s="24"/>
      <c r="M215" s="90"/>
    </row>
    <row r="216">
      <c r="A216" s="24"/>
      <c r="B216" s="24"/>
      <c r="C216" s="24"/>
      <c r="D216" s="24"/>
      <c r="E216" s="24"/>
      <c r="F216" s="24"/>
      <c r="G216" s="24"/>
      <c r="H216" s="24"/>
      <c r="I216" s="24"/>
      <c r="J216" s="24"/>
      <c r="K216" s="24"/>
      <c r="L216" s="24"/>
      <c r="M216" s="90"/>
    </row>
    <row r="217">
      <c r="A217" s="24"/>
      <c r="B217" s="24"/>
      <c r="C217" s="24"/>
      <c r="D217" s="24"/>
      <c r="E217" s="24"/>
      <c r="F217" s="24"/>
      <c r="G217" s="24"/>
      <c r="H217" s="24"/>
      <c r="I217" s="24"/>
      <c r="J217" s="24"/>
      <c r="K217" s="24"/>
      <c r="L217" s="24"/>
      <c r="M217" s="90"/>
    </row>
    <row r="218">
      <c r="A218" s="24"/>
      <c r="B218" s="24"/>
      <c r="C218" s="24"/>
      <c r="D218" s="24"/>
      <c r="E218" s="24"/>
      <c r="F218" s="24"/>
      <c r="G218" s="24"/>
      <c r="H218" s="24"/>
      <c r="I218" s="24"/>
      <c r="J218" s="24"/>
      <c r="K218" s="24"/>
      <c r="L218" s="24"/>
      <c r="M218" s="90"/>
    </row>
    <row r="219">
      <c r="A219" s="24"/>
      <c r="B219" s="24"/>
      <c r="C219" s="24"/>
      <c r="D219" s="24"/>
      <c r="E219" s="24"/>
      <c r="F219" s="24"/>
      <c r="G219" s="24"/>
      <c r="H219" s="24"/>
      <c r="I219" s="24"/>
      <c r="J219" s="24"/>
      <c r="K219" s="24"/>
      <c r="L219" s="24"/>
      <c r="M219" s="90"/>
    </row>
    <row r="220">
      <c r="A220" s="24"/>
      <c r="B220" s="24"/>
      <c r="C220" s="24"/>
      <c r="D220" s="24"/>
      <c r="E220" s="24"/>
      <c r="F220" s="24"/>
      <c r="G220" s="24"/>
      <c r="H220" s="24"/>
      <c r="I220" s="24"/>
      <c r="J220" s="24"/>
      <c r="K220" s="24"/>
      <c r="L220" s="24"/>
      <c r="M220" s="90"/>
    </row>
    <row r="221">
      <c r="A221" s="24"/>
      <c r="B221" s="24"/>
      <c r="C221" s="24"/>
      <c r="D221" s="24"/>
      <c r="E221" s="24"/>
      <c r="F221" s="24"/>
      <c r="G221" s="24"/>
      <c r="H221" s="24"/>
      <c r="I221" s="24"/>
      <c r="J221" s="24"/>
      <c r="K221" s="24"/>
      <c r="L221" s="24"/>
      <c r="M221" s="90"/>
    </row>
    <row r="222">
      <c r="A222" s="24"/>
      <c r="B222" s="24"/>
      <c r="C222" s="24"/>
      <c r="D222" s="24"/>
      <c r="E222" s="24"/>
      <c r="F222" s="24"/>
      <c r="G222" s="24"/>
      <c r="H222" s="24"/>
      <c r="I222" s="24"/>
      <c r="J222" s="24"/>
      <c r="K222" s="24"/>
      <c r="L222" s="24"/>
      <c r="M222" s="90"/>
    </row>
    <row r="223">
      <c r="A223" s="24"/>
      <c r="B223" s="24"/>
      <c r="C223" s="24"/>
      <c r="D223" s="24"/>
      <c r="E223" s="24"/>
      <c r="F223" s="24"/>
      <c r="G223" s="24"/>
      <c r="H223" s="24"/>
      <c r="I223" s="24"/>
      <c r="J223" s="24"/>
      <c r="K223" s="24"/>
      <c r="L223" s="24"/>
      <c r="M223" s="90"/>
    </row>
    <row r="224">
      <c r="A224" s="24"/>
      <c r="B224" s="24"/>
      <c r="C224" s="24"/>
      <c r="D224" s="24"/>
      <c r="E224" s="24"/>
      <c r="F224" s="24"/>
      <c r="G224" s="24"/>
      <c r="H224" s="24"/>
      <c r="I224" s="24"/>
      <c r="J224" s="24"/>
      <c r="K224" s="24"/>
      <c r="L224" s="24"/>
      <c r="M224" s="90"/>
    </row>
    <row r="225">
      <c r="A225" s="24"/>
      <c r="B225" s="24"/>
      <c r="C225" s="24"/>
      <c r="D225" s="24"/>
      <c r="E225" s="24"/>
      <c r="F225" s="24"/>
      <c r="G225" s="24"/>
      <c r="H225" s="24"/>
      <c r="I225" s="24"/>
      <c r="J225" s="24"/>
      <c r="K225" s="24"/>
      <c r="L225" s="24"/>
      <c r="M225" s="90"/>
    </row>
    <row r="226">
      <c r="A226" s="24"/>
      <c r="B226" s="24"/>
      <c r="C226" s="24"/>
      <c r="D226" s="24"/>
      <c r="E226" s="24"/>
      <c r="F226" s="24"/>
      <c r="G226" s="24"/>
      <c r="H226" s="24"/>
      <c r="I226" s="24"/>
      <c r="J226" s="24"/>
      <c r="K226" s="24"/>
      <c r="L226" s="24"/>
      <c r="M226" s="90"/>
    </row>
    <row r="227">
      <c r="A227" s="24"/>
      <c r="B227" s="24"/>
      <c r="C227" s="24"/>
      <c r="D227" s="24"/>
      <c r="E227" s="24"/>
      <c r="F227" s="24"/>
      <c r="G227" s="24"/>
      <c r="H227" s="24"/>
      <c r="I227" s="24"/>
      <c r="J227" s="24"/>
      <c r="K227" s="24"/>
      <c r="L227" s="24"/>
      <c r="M227" s="90"/>
    </row>
    <row r="228">
      <c r="A228" s="24"/>
      <c r="B228" s="24"/>
      <c r="C228" s="24"/>
      <c r="D228" s="24"/>
      <c r="E228" s="24"/>
      <c r="F228" s="24"/>
      <c r="G228" s="24"/>
      <c r="H228" s="24"/>
      <c r="I228" s="24"/>
      <c r="J228" s="24"/>
      <c r="K228" s="24"/>
      <c r="L228" s="24"/>
      <c r="M228" s="90"/>
    </row>
    <row r="229">
      <c r="A229" s="24"/>
      <c r="B229" s="24"/>
      <c r="C229" s="24"/>
      <c r="D229" s="24"/>
      <c r="E229" s="24"/>
      <c r="F229" s="24"/>
      <c r="G229" s="24"/>
      <c r="H229" s="24"/>
      <c r="I229" s="24"/>
      <c r="J229" s="24"/>
      <c r="K229" s="24"/>
      <c r="L229" s="24"/>
      <c r="M229" s="90"/>
    </row>
    <row r="230">
      <c r="A230" s="24"/>
      <c r="B230" s="24"/>
      <c r="C230" s="24"/>
      <c r="D230" s="24"/>
      <c r="E230" s="24"/>
      <c r="F230" s="24"/>
      <c r="G230" s="24"/>
      <c r="H230" s="24"/>
      <c r="I230" s="24"/>
      <c r="J230" s="24"/>
      <c r="K230" s="24"/>
      <c r="L230" s="24"/>
      <c r="M230" s="90"/>
    </row>
    <row r="231">
      <c r="A231" s="24"/>
      <c r="B231" s="24"/>
      <c r="C231" s="24"/>
      <c r="D231" s="24"/>
      <c r="E231" s="24"/>
      <c r="F231" s="24"/>
      <c r="G231" s="24"/>
      <c r="H231" s="24"/>
      <c r="I231" s="24"/>
      <c r="J231" s="24"/>
      <c r="K231" s="24"/>
      <c r="L231" s="24"/>
      <c r="M231" s="90"/>
    </row>
    <row r="232">
      <c r="A232" s="24"/>
      <c r="B232" s="24"/>
      <c r="C232" s="24"/>
      <c r="D232" s="24"/>
      <c r="E232" s="24"/>
      <c r="F232" s="24"/>
      <c r="G232" s="24"/>
      <c r="H232" s="24"/>
      <c r="I232" s="24"/>
      <c r="J232" s="24"/>
      <c r="K232" s="24"/>
      <c r="L232" s="24"/>
      <c r="M232" s="90"/>
    </row>
    <row r="233">
      <c r="A233" s="24"/>
      <c r="B233" s="24"/>
      <c r="C233" s="24"/>
      <c r="D233" s="24"/>
      <c r="E233" s="24"/>
      <c r="F233" s="24"/>
      <c r="G233" s="24"/>
      <c r="H233" s="24"/>
      <c r="I233" s="24"/>
      <c r="J233" s="24"/>
      <c r="K233" s="24"/>
      <c r="L233" s="24"/>
      <c r="M233" s="90"/>
    </row>
    <row r="234">
      <c r="A234" s="24"/>
      <c r="B234" s="24"/>
      <c r="C234" s="24"/>
      <c r="D234" s="24"/>
      <c r="E234" s="24"/>
      <c r="F234" s="24"/>
      <c r="G234" s="24"/>
      <c r="H234" s="24"/>
      <c r="I234" s="24"/>
      <c r="J234" s="24"/>
      <c r="K234" s="24"/>
      <c r="L234" s="24"/>
      <c r="M234" s="90"/>
    </row>
    <row r="235">
      <c r="A235" s="24"/>
      <c r="B235" s="24"/>
      <c r="C235" s="24"/>
      <c r="D235" s="24"/>
      <c r="E235" s="24"/>
      <c r="F235" s="24"/>
      <c r="G235" s="24"/>
      <c r="H235" s="24"/>
      <c r="I235" s="24"/>
      <c r="J235" s="24"/>
      <c r="K235" s="24"/>
      <c r="L235" s="24"/>
      <c r="M235" s="90"/>
    </row>
    <row r="236">
      <c r="A236" s="24"/>
      <c r="B236" s="24"/>
      <c r="C236" s="24"/>
      <c r="D236" s="24"/>
      <c r="E236" s="24"/>
      <c r="F236" s="24"/>
      <c r="G236" s="24"/>
      <c r="H236" s="24"/>
      <c r="I236" s="24"/>
      <c r="J236" s="24"/>
      <c r="K236" s="24"/>
      <c r="L236" s="24"/>
      <c r="M236" s="90"/>
    </row>
    <row r="237">
      <c r="A237" s="24"/>
      <c r="B237" s="24"/>
      <c r="C237" s="24"/>
      <c r="D237" s="24"/>
      <c r="E237" s="24"/>
      <c r="F237" s="24"/>
      <c r="G237" s="24"/>
      <c r="H237" s="24"/>
      <c r="I237" s="24"/>
      <c r="J237" s="24"/>
      <c r="K237" s="24"/>
      <c r="L237" s="24"/>
      <c r="M237" s="90"/>
    </row>
    <row r="238">
      <c r="A238" s="24"/>
      <c r="B238" s="24"/>
      <c r="C238" s="24"/>
      <c r="D238" s="24"/>
      <c r="E238" s="24"/>
      <c r="F238" s="24"/>
      <c r="G238" s="24"/>
      <c r="H238" s="24"/>
      <c r="I238" s="24"/>
      <c r="J238" s="24"/>
      <c r="K238" s="24"/>
      <c r="L238" s="24"/>
      <c r="M238" s="90"/>
    </row>
    <row r="239">
      <c r="A239" s="24"/>
      <c r="B239" s="24"/>
      <c r="C239" s="24"/>
      <c r="D239" s="24"/>
      <c r="E239" s="24"/>
      <c r="F239" s="24"/>
      <c r="G239" s="24"/>
      <c r="H239" s="24"/>
      <c r="I239" s="24"/>
      <c r="J239" s="24"/>
      <c r="K239" s="24"/>
      <c r="L239" s="24"/>
      <c r="M239" s="90"/>
    </row>
    <row r="240">
      <c r="A240" s="24"/>
      <c r="B240" s="24"/>
      <c r="C240" s="24"/>
      <c r="D240" s="24"/>
      <c r="E240" s="24"/>
      <c r="F240" s="24"/>
      <c r="G240" s="24"/>
      <c r="H240" s="24"/>
      <c r="I240" s="24"/>
      <c r="J240" s="24"/>
      <c r="K240" s="24"/>
      <c r="L240" s="24"/>
      <c r="M240" s="90"/>
    </row>
    <row r="241">
      <c r="A241" s="24"/>
      <c r="B241" s="24"/>
      <c r="C241" s="24"/>
      <c r="D241" s="24"/>
      <c r="E241" s="24"/>
      <c r="F241" s="24"/>
      <c r="G241" s="24"/>
      <c r="H241" s="24"/>
      <c r="I241" s="24"/>
      <c r="J241" s="24"/>
      <c r="K241" s="24"/>
      <c r="L241" s="24"/>
      <c r="M241" s="90"/>
    </row>
    <row r="242">
      <c r="A242" s="24"/>
      <c r="B242" s="24"/>
      <c r="C242" s="24"/>
      <c r="D242" s="24"/>
      <c r="E242" s="24"/>
      <c r="F242" s="24"/>
      <c r="G242" s="24"/>
      <c r="H242" s="24"/>
      <c r="I242" s="24"/>
      <c r="J242" s="24"/>
      <c r="K242" s="24"/>
      <c r="L242" s="24"/>
      <c r="M242" s="90"/>
    </row>
    <row r="243">
      <c r="A243" s="24"/>
      <c r="B243" s="24"/>
      <c r="C243" s="24"/>
      <c r="D243" s="24"/>
      <c r="E243" s="24"/>
      <c r="F243" s="24"/>
      <c r="G243" s="24"/>
      <c r="H243" s="24"/>
      <c r="I243" s="24"/>
      <c r="J243" s="24"/>
      <c r="K243" s="24"/>
      <c r="L243" s="24"/>
      <c r="M243" s="90"/>
    </row>
    <row r="244">
      <c r="A244" s="24"/>
      <c r="B244" s="24"/>
      <c r="C244" s="24"/>
      <c r="D244" s="24"/>
      <c r="E244" s="24"/>
      <c r="F244" s="24"/>
      <c r="G244" s="24"/>
      <c r="H244" s="24"/>
      <c r="I244" s="24"/>
      <c r="J244" s="24"/>
      <c r="K244" s="24"/>
      <c r="L244" s="24"/>
      <c r="M244" s="90"/>
    </row>
    <row r="245">
      <c r="A245" s="24"/>
      <c r="B245" s="24"/>
      <c r="C245" s="24"/>
      <c r="D245" s="24"/>
      <c r="E245" s="24"/>
      <c r="F245" s="24"/>
      <c r="G245" s="24"/>
      <c r="H245" s="24"/>
      <c r="I245" s="24"/>
      <c r="J245" s="24"/>
      <c r="K245" s="24"/>
      <c r="L245" s="24"/>
      <c r="M245" s="90"/>
    </row>
    <row r="246">
      <c r="A246" s="24"/>
      <c r="B246" s="24"/>
      <c r="C246" s="24"/>
      <c r="D246" s="24"/>
      <c r="E246" s="24"/>
      <c r="F246" s="24"/>
      <c r="G246" s="24"/>
      <c r="H246" s="24"/>
      <c r="I246" s="24"/>
      <c r="J246" s="24"/>
      <c r="K246" s="24"/>
      <c r="L246" s="24"/>
      <c r="M246" s="90"/>
    </row>
    <row r="247">
      <c r="A247" s="24"/>
      <c r="B247" s="24"/>
      <c r="C247" s="24"/>
      <c r="D247" s="24"/>
      <c r="E247" s="24"/>
      <c r="F247" s="24"/>
      <c r="G247" s="24"/>
      <c r="H247" s="24"/>
      <c r="I247" s="24"/>
      <c r="J247" s="24"/>
      <c r="K247" s="24"/>
      <c r="L247" s="24"/>
      <c r="M247" s="90"/>
    </row>
    <row r="248">
      <c r="A248" s="24"/>
      <c r="B248" s="24"/>
      <c r="C248" s="24"/>
      <c r="D248" s="24"/>
      <c r="E248" s="24"/>
      <c r="F248" s="24"/>
      <c r="G248" s="24"/>
      <c r="H248" s="24"/>
      <c r="I248" s="24"/>
      <c r="J248" s="24"/>
      <c r="K248" s="24"/>
      <c r="L248" s="24"/>
      <c r="M248" s="90"/>
    </row>
    <row r="249">
      <c r="A249" s="24"/>
      <c r="B249" s="24"/>
      <c r="C249" s="24"/>
      <c r="D249" s="24"/>
      <c r="E249" s="24"/>
      <c r="F249" s="24"/>
      <c r="G249" s="24"/>
      <c r="H249" s="24"/>
      <c r="I249" s="24"/>
      <c r="J249" s="24"/>
      <c r="K249" s="24"/>
      <c r="L249" s="24"/>
      <c r="M249" s="90"/>
    </row>
    <row r="250">
      <c r="A250" s="24"/>
      <c r="B250" s="24"/>
      <c r="C250" s="24"/>
      <c r="D250" s="24"/>
      <c r="E250" s="24"/>
      <c r="F250" s="24"/>
      <c r="G250" s="24"/>
      <c r="H250" s="24"/>
      <c r="I250" s="24"/>
      <c r="J250" s="24"/>
      <c r="K250" s="24"/>
      <c r="L250" s="24"/>
      <c r="M250" s="90"/>
    </row>
    <row r="251">
      <c r="A251" s="24"/>
      <c r="B251" s="24"/>
      <c r="C251" s="24"/>
      <c r="D251" s="24"/>
      <c r="E251" s="24"/>
      <c r="F251" s="24"/>
      <c r="G251" s="24"/>
      <c r="H251" s="24"/>
      <c r="I251" s="24"/>
      <c r="J251" s="24"/>
      <c r="K251" s="24"/>
      <c r="L251" s="24"/>
      <c r="M251" s="90"/>
    </row>
    <row r="252">
      <c r="A252" s="24"/>
      <c r="B252" s="24"/>
      <c r="C252" s="24"/>
      <c r="D252" s="24"/>
      <c r="E252" s="24"/>
      <c r="F252" s="24"/>
      <c r="G252" s="24"/>
      <c r="H252" s="24"/>
      <c r="I252" s="24"/>
      <c r="J252" s="24"/>
      <c r="K252" s="24"/>
      <c r="L252" s="24"/>
      <c r="M252" s="90"/>
    </row>
    <row r="253">
      <c r="A253" s="24"/>
      <c r="B253" s="24"/>
      <c r="C253" s="24"/>
      <c r="D253" s="24"/>
      <c r="E253" s="24"/>
      <c r="F253" s="24"/>
      <c r="G253" s="24"/>
      <c r="H253" s="24"/>
      <c r="I253" s="24"/>
      <c r="J253" s="24"/>
      <c r="K253" s="24"/>
      <c r="L253" s="24"/>
      <c r="M253" s="90"/>
    </row>
    <row r="254">
      <c r="A254" s="24"/>
      <c r="B254" s="24"/>
      <c r="C254" s="24"/>
      <c r="D254" s="24"/>
      <c r="E254" s="24"/>
      <c r="F254" s="24"/>
      <c r="G254" s="24"/>
      <c r="H254" s="24"/>
      <c r="I254" s="24"/>
      <c r="J254" s="24"/>
      <c r="K254" s="24"/>
      <c r="L254" s="24"/>
      <c r="M254" s="90"/>
    </row>
    <row r="255">
      <c r="A255" s="24"/>
      <c r="B255" s="24"/>
      <c r="C255" s="24"/>
      <c r="D255" s="24"/>
      <c r="E255" s="24"/>
      <c r="F255" s="24"/>
      <c r="G255" s="24"/>
      <c r="H255" s="24"/>
      <c r="I255" s="24"/>
      <c r="J255" s="24"/>
      <c r="K255" s="24"/>
      <c r="L255" s="24"/>
      <c r="M255" s="90"/>
    </row>
    <row r="256">
      <c r="A256" s="24"/>
      <c r="B256" s="24"/>
      <c r="C256" s="24"/>
      <c r="D256" s="24"/>
      <c r="E256" s="24"/>
      <c r="F256" s="24"/>
      <c r="G256" s="24"/>
      <c r="H256" s="24"/>
      <c r="I256" s="24"/>
      <c r="J256" s="24"/>
      <c r="K256" s="24"/>
      <c r="L256" s="24"/>
      <c r="M256" s="90"/>
    </row>
    <row r="257">
      <c r="A257" s="24"/>
      <c r="B257" s="24"/>
      <c r="C257" s="24"/>
      <c r="D257" s="24"/>
      <c r="E257" s="24"/>
      <c r="F257" s="24"/>
      <c r="G257" s="24"/>
      <c r="H257" s="24"/>
      <c r="I257" s="24"/>
      <c r="J257" s="24"/>
      <c r="K257" s="24"/>
      <c r="L257" s="24"/>
      <c r="M257" s="90"/>
    </row>
    <row r="258">
      <c r="A258" s="24"/>
      <c r="B258" s="24"/>
      <c r="C258" s="24"/>
      <c r="D258" s="24"/>
      <c r="E258" s="24"/>
      <c r="F258" s="24"/>
      <c r="G258" s="24"/>
      <c r="H258" s="24"/>
      <c r="I258" s="24"/>
      <c r="J258" s="24"/>
      <c r="K258" s="24"/>
      <c r="L258" s="24"/>
      <c r="M258" s="90"/>
    </row>
    <row r="259">
      <c r="A259" s="24"/>
      <c r="B259" s="24"/>
      <c r="C259" s="24"/>
      <c r="D259" s="24"/>
      <c r="E259" s="24"/>
      <c r="F259" s="24"/>
      <c r="G259" s="24"/>
      <c r="H259" s="24"/>
      <c r="I259" s="24"/>
      <c r="J259" s="24"/>
      <c r="K259" s="24"/>
      <c r="L259" s="24"/>
      <c r="M259" s="90"/>
    </row>
    <row r="260">
      <c r="A260" s="24"/>
      <c r="B260" s="24"/>
      <c r="C260" s="24"/>
      <c r="D260" s="24"/>
      <c r="E260" s="24"/>
      <c r="F260" s="24"/>
      <c r="G260" s="24"/>
      <c r="H260" s="24"/>
      <c r="I260" s="24"/>
      <c r="J260" s="24"/>
      <c r="K260" s="24"/>
      <c r="L260" s="24"/>
      <c r="M260" s="90"/>
    </row>
    <row r="261">
      <c r="A261" s="24"/>
      <c r="B261" s="24"/>
      <c r="C261" s="24"/>
      <c r="D261" s="24"/>
      <c r="E261" s="24"/>
      <c r="F261" s="24"/>
      <c r="G261" s="24"/>
      <c r="H261" s="24"/>
      <c r="I261" s="24"/>
      <c r="J261" s="24"/>
      <c r="K261" s="24"/>
      <c r="L261" s="24"/>
      <c r="M261" s="90"/>
    </row>
    <row r="262">
      <c r="A262" s="24"/>
      <c r="B262" s="24"/>
      <c r="C262" s="24"/>
      <c r="D262" s="24"/>
      <c r="E262" s="24"/>
      <c r="F262" s="24"/>
      <c r="G262" s="24"/>
      <c r="H262" s="24"/>
      <c r="I262" s="24"/>
      <c r="J262" s="24"/>
      <c r="K262" s="24"/>
      <c r="L262" s="24"/>
      <c r="M262" s="90"/>
    </row>
    <row r="263">
      <c r="A263" s="24"/>
      <c r="B263" s="24"/>
      <c r="C263" s="24"/>
      <c r="D263" s="24"/>
      <c r="E263" s="24"/>
      <c r="F263" s="24"/>
      <c r="G263" s="24"/>
      <c r="H263" s="24"/>
      <c r="I263" s="24"/>
      <c r="J263" s="24"/>
      <c r="K263" s="24"/>
      <c r="L263" s="24"/>
      <c r="M263" s="90"/>
    </row>
    <row r="264">
      <c r="A264" s="24"/>
      <c r="B264" s="24"/>
      <c r="C264" s="24"/>
      <c r="D264" s="24"/>
      <c r="E264" s="24"/>
      <c r="F264" s="24"/>
      <c r="G264" s="24"/>
      <c r="H264" s="24"/>
      <c r="I264" s="24"/>
      <c r="J264" s="24"/>
      <c r="K264" s="24"/>
      <c r="L264" s="24"/>
      <c r="M264" s="90"/>
    </row>
    <row r="265">
      <c r="A265" s="24"/>
      <c r="B265" s="24"/>
      <c r="C265" s="24"/>
      <c r="D265" s="24"/>
      <c r="E265" s="24"/>
      <c r="F265" s="24"/>
      <c r="G265" s="24"/>
      <c r="H265" s="24"/>
      <c r="I265" s="24"/>
      <c r="J265" s="24"/>
      <c r="K265" s="24"/>
      <c r="L265" s="24"/>
      <c r="M265" s="90"/>
    </row>
    <row r="266">
      <c r="A266" s="24"/>
      <c r="B266" s="24"/>
      <c r="C266" s="24"/>
      <c r="D266" s="24"/>
      <c r="E266" s="24"/>
      <c r="F266" s="24"/>
      <c r="G266" s="24"/>
      <c r="H266" s="24"/>
      <c r="I266" s="24"/>
      <c r="J266" s="24"/>
      <c r="K266" s="24"/>
      <c r="L266" s="24"/>
      <c r="M266" s="90"/>
    </row>
    <row r="267">
      <c r="A267" s="24"/>
      <c r="B267" s="24"/>
      <c r="C267" s="24"/>
      <c r="D267" s="24"/>
      <c r="E267" s="24"/>
      <c r="F267" s="24"/>
      <c r="G267" s="24"/>
      <c r="H267" s="24"/>
      <c r="I267" s="24"/>
      <c r="J267" s="24"/>
      <c r="K267" s="24"/>
      <c r="L267" s="24"/>
      <c r="M267" s="90"/>
    </row>
    <row r="268">
      <c r="A268" s="24"/>
      <c r="B268" s="24"/>
      <c r="C268" s="24"/>
      <c r="D268" s="24"/>
      <c r="E268" s="24"/>
      <c r="F268" s="24"/>
      <c r="G268" s="24"/>
      <c r="H268" s="24"/>
      <c r="I268" s="24"/>
      <c r="J268" s="24"/>
      <c r="K268" s="24"/>
      <c r="L268" s="24"/>
      <c r="M268" s="90"/>
    </row>
    <row r="269">
      <c r="A269" s="24"/>
      <c r="B269" s="24"/>
      <c r="C269" s="24"/>
      <c r="D269" s="24"/>
      <c r="E269" s="24"/>
      <c r="F269" s="24"/>
      <c r="G269" s="24"/>
      <c r="H269" s="24"/>
      <c r="I269" s="24"/>
      <c r="J269" s="24"/>
      <c r="K269" s="24"/>
      <c r="L269" s="24"/>
      <c r="M269" s="90"/>
    </row>
    <row r="270">
      <c r="A270" s="24"/>
      <c r="B270" s="24"/>
      <c r="C270" s="24"/>
      <c r="D270" s="24"/>
      <c r="E270" s="24"/>
      <c r="F270" s="24"/>
      <c r="G270" s="24"/>
      <c r="H270" s="24"/>
      <c r="I270" s="24"/>
      <c r="J270" s="24"/>
      <c r="K270" s="24"/>
      <c r="L270" s="24"/>
      <c r="M270" s="90"/>
    </row>
    <row r="271">
      <c r="A271" s="24"/>
      <c r="B271" s="24"/>
      <c r="C271" s="24"/>
      <c r="D271" s="24"/>
      <c r="E271" s="24"/>
      <c r="F271" s="24"/>
      <c r="G271" s="24"/>
      <c r="H271" s="24"/>
      <c r="I271" s="24"/>
      <c r="J271" s="24"/>
      <c r="K271" s="24"/>
      <c r="L271" s="24"/>
      <c r="M271" s="90"/>
    </row>
    <row r="272">
      <c r="A272" s="24"/>
      <c r="B272" s="24"/>
      <c r="C272" s="24"/>
      <c r="D272" s="24"/>
      <c r="E272" s="24"/>
      <c r="F272" s="24"/>
      <c r="G272" s="24"/>
      <c r="H272" s="24"/>
      <c r="I272" s="24"/>
      <c r="J272" s="24"/>
      <c r="K272" s="24"/>
      <c r="L272" s="24"/>
      <c r="M272" s="90"/>
    </row>
    <row r="273">
      <c r="A273" s="24"/>
      <c r="B273" s="24"/>
      <c r="C273" s="24"/>
      <c r="D273" s="24"/>
      <c r="E273" s="24"/>
      <c r="F273" s="24"/>
      <c r="G273" s="24"/>
      <c r="H273" s="24"/>
      <c r="I273" s="24"/>
      <c r="J273" s="24"/>
      <c r="K273" s="24"/>
      <c r="L273" s="24"/>
      <c r="M273" s="90"/>
    </row>
    <row r="274">
      <c r="A274" s="24"/>
      <c r="B274" s="24"/>
      <c r="C274" s="24"/>
      <c r="D274" s="24"/>
      <c r="E274" s="24"/>
      <c r="F274" s="24"/>
      <c r="G274" s="24"/>
      <c r="H274" s="24"/>
      <c r="I274" s="24"/>
      <c r="J274" s="24"/>
      <c r="K274" s="24"/>
      <c r="L274" s="24"/>
      <c r="M274" s="90"/>
    </row>
    <row r="275">
      <c r="A275" s="24"/>
      <c r="B275" s="24"/>
      <c r="C275" s="24"/>
      <c r="D275" s="24"/>
      <c r="E275" s="24"/>
      <c r="F275" s="24"/>
      <c r="G275" s="24"/>
      <c r="H275" s="24"/>
      <c r="I275" s="24"/>
      <c r="J275" s="24"/>
      <c r="K275" s="24"/>
      <c r="L275" s="24"/>
      <c r="M275" s="90"/>
    </row>
    <row r="276">
      <c r="A276" s="24"/>
      <c r="B276" s="24"/>
      <c r="C276" s="24"/>
      <c r="D276" s="24"/>
      <c r="E276" s="24"/>
      <c r="F276" s="24"/>
      <c r="G276" s="24"/>
      <c r="H276" s="24"/>
      <c r="I276" s="24"/>
      <c r="J276" s="24"/>
      <c r="K276" s="24"/>
      <c r="L276" s="24"/>
      <c r="M276" s="90"/>
    </row>
    <row r="277">
      <c r="A277" s="24"/>
      <c r="B277" s="24"/>
      <c r="C277" s="24"/>
      <c r="D277" s="24"/>
      <c r="E277" s="24"/>
      <c r="F277" s="24"/>
      <c r="G277" s="24"/>
      <c r="H277" s="24"/>
      <c r="I277" s="24"/>
      <c r="J277" s="24"/>
      <c r="K277" s="24"/>
      <c r="L277" s="24"/>
      <c r="M277" s="90"/>
    </row>
    <row r="278">
      <c r="A278" s="24"/>
      <c r="B278" s="24"/>
      <c r="C278" s="24"/>
      <c r="D278" s="24"/>
      <c r="E278" s="24"/>
      <c r="F278" s="24"/>
      <c r="G278" s="24"/>
      <c r="H278" s="24"/>
      <c r="I278" s="24"/>
      <c r="J278" s="24"/>
      <c r="K278" s="24"/>
      <c r="L278" s="24"/>
      <c r="M278" s="90"/>
    </row>
    <row r="279">
      <c r="A279" s="24"/>
      <c r="B279" s="24"/>
      <c r="C279" s="24"/>
      <c r="D279" s="24"/>
      <c r="E279" s="24"/>
      <c r="F279" s="24"/>
      <c r="G279" s="24"/>
      <c r="H279" s="24"/>
      <c r="I279" s="24"/>
      <c r="J279" s="24"/>
      <c r="K279" s="24"/>
      <c r="L279" s="24"/>
      <c r="M279" s="90"/>
    </row>
    <row r="280">
      <c r="A280" s="24"/>
      <c r="B280" s="24"/>
      <c r="C280" s="24"/>
      <c r="D280" s="24"/>
      <c r="E280" s="24"/>
      <c r="F280" s="24"/>
      <c r="G280" s="24"/>
      <c r="H280" s="24"/>
      <c r="I280" s="24"/>
      <c r="J280" s="24"/>
      <c r="K280" s="24"/>
      <c r="L280" s="24"/>
      <c r="M280" s="90"/>
    </row>
    <row r="281">
      <c r="A281" s="24"/>
      <c r="B281" s="24"/>
      <c r="C281" s="24"/>
      <c r="D281" s="24"/>
      <c r="E281" s="24"/>
      <c r="F281" s="24"/>
      <c r="G281" s="24"/>
      <c r="H281" s="24"/>
      <c r="I281" s="24"/>
      <c r="J281" s="24"/>
      <c r="K281" s="24"/>
      <c r="L281" s="24"/>
      <c r="M281" s="90"/>
    </row>
    <row r="282">
      <c r="A282" s="24"/>
      <c r="B282" s="24"/>
      <c r="C282" s="24"/>
      <c r="D282" s="24"/>
      <c r="E282" s="24"/>
      <c r="F282" s="24"/>
      <c r="G282" s="24"/>
      <c r="H282" s="24"/>
      <c r="I282" s="24"/>
      <c r="J282" s="24"/>
      <c r="K282" s="24"/>
      <c r="L282" s="24"/>
      <c r="M282" s="90"/>
    </row>
    <row r="283">
      <c r="A283" s="24"/>
      <c r="B283" s="24"/>
      <c r="C283" s="24"/>
      <c r="D283" s="24"/>
      <c r="E283" s="24"/>
      <c r="F283" s="24"/>
      <c r="G283" s="24"/>
      <c r="H283" s="24"/>
      <c r="I283" s="24"/>
      <c r="J283" s="24"/>
      <c r="K283" s="24"/>
      <c r="L283" s="24"/>
      <c r="M283" s="90"/>
    </row>
    <row r="284">
      <c r="A284" s="24"/>
      <c r="B284" s="24"/>
      <c r="C284" s="24"/>
      <c r="D284" s="24"/>
      <c r="E284" s="24"/>
      <c r="F284" s="24"/>
      <c r="G284" s="24"/>
      <c r="H284" s="24"/>
      <c r="I284" s="24"/>
      <c r="J284" s="24"/>
      <c r="K284" s="24"/>
      <c r="L284" s="24"/>
      <c r="M284" s="90"/>
    </row>
    <row r="285">
      <c r="A285" s="24"/>
      <c r="B285" s="24"/>
      <c r="C285" s="24"/>
      <c r="D285" s="24"/>
      <c r="E285" s="24"/>
      <c r="F285" s="24"/>
      <c r="G285" s="24"/>
      <c r="H285" s="24"/>
      <c r="I285" s="24"/>
      <c r="J285" s="24"/>
      <c r="K285" s="24"/>
      <c r="L285" s="24"/>
      <c r="M285" s="90"/>
    </row>
    <row r="286">
      <c r="A286" s="24"/>
      <c r="B286" s="24"/>
      <c r="C286" s="24"/>
      <c r="D286" s="24"/>
      <c r="E286" s="24"/>
      <c r="F286" s="24"/>
      <c r="G286" s="24"/>
      <c r="H286" s="24"/>
      <c r="I286" s="24"/>
      <c r="J286" s="24"/>
      <c r="K286" s="24"/>
      <c r="L286" s="24"/>
      <c r="M286" s="90"/>
    </row>
    <row r="287">
      <c r="A287" s="24"/>
      <c r="B287" s="24"/>
      <c r="C287" s="24"/>
      <c r="D287" s="24"/>
      <c r="E287" s="24"/>
      <c r="F287" s="24"/>
      <c r="G287" s="24"/>
      <c r="H287" s="24"/>
      <c r="I287" s="24"/>
      <c r="J287" s="24"/>
      <c r="K287" s="24"/>
      <c r="L287" s="24"/>
      <c r="M287" s="90"/>
    </row>
    <row r="288">
      <c r="A288" s="24"/>
      <c r="B288" s="24"/>
      <c r="C288" s="24"/>
      <c r="D288" s="24"/>
      <c r="E288" s="24"/>
      <c r="F288" s="24"/>
      <c r="G288" s="24"/>
      <c r="H288" s="24"/>
      <c r="I288" s="24"/>
      <c r="J288" s="24"/>
      <c r="K288" s="24"/>
      <c r="L288" s="24"/>
      <c r="M288" s="90"/>
    </row>
    <row r="289">
      <c r="A289" s="24"/>
      <c r="B289" s="24"/>
      <c r="C289" s="24"/>
      <c r="D289" s="24"/>
      <c r="E289" s="24"/>
      <c r="F289" s="24"/>
      <c r="G289" s="24"/>
      <c r="H289" s="24"/>
      <c r="I289" s="24"/>
      <c r="J289" s="24"/>
      <c r="K289" s="24"/>
      <c r="L289" s="24"/>
      <c r="M289" s="90"/>
    </row>
    <row r="290">
      <c r="A290" s="24"/>
      <c r="B290" s="24"/>
      <c r="C290" s="24"/>
      <c r="D290" s="24"/>
      <c r="E290" s="24"/>
      <c r="F290" s="24"/>
      <c r="G290" s="24"/>
      <c r="H290" s="24"/>
      <c r="I290" s="24"/>
      <c r="J290" s="24"/>
      <c r="K290" s="24"/>
      <c r="L290" s="24"/>
      <c r="M290" s="90"/>
    </row>
    <row r="291">
      <c r="A291" s="24"/>
      <c r="B291" s="24"/>
      <c r="C291" s="24"/>
      <c r="D291" s="24"/>
      <c r="E291" s="24"/>
      <c r="F291" s="24"/>
      <c r="G291" s="24"/>
      <c r="H291" s="24"/>
      <c r="I291" s="24"/>
      <c r="J291" s="24"/>
      <c r="K291" s="24"/>
      <c r="L291" s="24"/>
      <c r="M291" s="90"/>
    </row>
    <row r="292">
      <c r="A292" s="24"/>
      <c r="B292" s="24"/>
      <c r="C292" s="24"/>
      <c r="D292" s="24"/>
      <c r="E292" s="24"/>
      <c r="F292" s="24"/>
      <c r="G292" s="24"/>
      <c r="H292" s="24"/>
      <c r="I292" s="24"/>
      <c r="J292" s="24"/>
      <c r="K292" s="24"/>
      <c r="L292" s="24"/>
      <c r="M292" s="90"/>
    </row>
    <row r="293">
      <c r="A293" s="24"/>
      <c r="B293" s="24"/>
      <c r="C293" s="24"/>
      <c r="D293" s="24"/>
      <c r="E293" s="24"/>
      <c r="F293" s="24"/>
      <c r="G293" s="24"/>
      <c r="H293" s="24"/>
      <c r="I293" s="24"/>
      <c r="J293" s="24"/>
      <c r="K293" s="24"/>
      <c r="L293" s="24"/>
      <c r="M293" s="90"/>
    </row>
    <row r="294">
      <c r="A294" s="24"/>
      <c r="B294" s="24"/>
      <c r="C294" s="24"/>
      <c r="D294" s="24"/>
      <c r="E294" s="24"/>
      <c r="F294" s="24"/>
      <c r="G294" s="24"/>
      <c r="H294" s="24"/>
      <c r="I294" s="24"/>
      <c r="J294" s="24"/>
      <c r="K294" s="24"/>
      <c r="L294" s="24"/>
      <c r="M294" s="90"/>
    </row>
    <row r="295">
      <c r="A295" s="24"/>
      <c r="B295" s="24"/>
      <c r="C295" s="24"/>
      <c r="D295" s="24"/>
      <c r="E295" s="24"/>
      <c r="F295" s="24"/>
      <c r="G295" s="24"/>
      <c r="H295" s="24"/>
      <c r="I295" s="24"/>
      <c r="J295" s="24"/>
      <c r="K295" s="24"/>
      <c r="L295" s="24"/>
      <c r="M295" s="90"/>
    </row>
    <row r="296">
      <c r="A296" s="24"/>
      <c r="B296" s="24"/>
      <c r="C296" s="24"/>
      <c r="D296" s="24"/>
      <c r="E296" s="24"/>
      <c r="F296" s="24"/>
      <c r="G296" s="24"/>
      <c r="H296" s="24"/>
      <c r="I296" s="24"/>
      <c r="J296" s="24"/>
      <c r="K296" s="24"/>
      <c r="L296" s="24"/>
      <c r="M296" s="90"/>
    </row>
    <row r="297">
      <c r="A297" s="24"/>
      <c r="B297" s="24"/>
      <c r="C297" s="24"/>
      <c r="D297" s="24"/>
      <c r="E297" s="24"/>
      <c r="F297" s="24"/>
      <c r="G297" s="24"/>
      <c r="H297" s="24"/>
      <c r="I297" s="24"/>
      <c r="J297" s="24"/>
      <c r="K297" s="24"/>
      <c r="L297" s="24"/>
      <c r="M297" s="90"/>
    </row>
    <row r="298">
      <c r="A298" s="24"/>
      <c r="B298" s="24"/>
      <c r="C298" s="24"/>
      <c r="D298" s="24"/>
      <c r="E298" s="24"/>
      <c r="F298" s="24"/>
      <c r="G298" s="24"/>
      <c r="H298" s="24"/>
      <c r="I298" s="24"/>
      <c r="J298" s="24"/>
      <c r="K298" s="24"/>
      <c r="L298" s="24"/>
      <c r="M298" s="90"/>
    </row>
    <row r="299">
      <c r="A299" s="24"/>
      <c r="B299" s="24"/>
      <c r="C299" s="24"/>
      <c r="D299" s="24"/>
      <c r="E299" s="24"/>
      <c r="F299" s="24"/>
      <c r="G299" s="24"/>
      <c r="H299" s="24"/>
      <c r="I299" s="24"/>
      <c r="J299" s="24"/>
      <c r="K299" s="24"/>
      <c r="L299" s="24"/>
      <c r="M299" s="90"/>
    </row>
    <row r="300">
      <c r="A300" s="24"/>
      <c r="B300" s="24"/>
      <c r="C300" s="24"/>
      <c r="D300" s="24"/>
      <c r="E300" s="24"/>
      <c r="F300" s="24"/>
      <c r="G300" s="24"/>
      <c r="H300" s="24"/>
      <c r="I300" s="24"/>
      <c r="J300" s="24"/>
      <c r="K300" s="24"/>
      <c r="L300" s="24"/>
      <c r="M300" s="90"/>
    </row>
    <row r="301">
      <c r="A301" s="24"/>
      <c r="B301" s="24"/>
      <c r="C301" s="24"/>
      <c r="D301" s="24"/>
      <c r="E301" s="24"/>
      <c r="F301" s="24"/>
      <c r="G301" s="24"/>
      <c r="H301" s="24"/>
      <c r="I301" s="24"/>
      <c r="J301" s="24"/>
      <c r="K301" s="24"/>
      <c r="L301" s="24"/>
      <c r="M301" s="90"/>
    </row>
    <row r="302">
      <c r="A302" s="24"/>
      <c r="B302" s="24"/>
      <c r="C302" s="24"/>
      <c r="D302" s="24"/>
      <c r="E302" s="24"/>
      <c r="F302" s="24"/>
      <c r="G302" s="24"/>
      <c r="H302" s="24"/>
      <c r="I302" s="24"/>
      <c r="J302" s="24"/>
      <c r="K302" s="24"/>
      <c r="L302" s="24"/>
      <c r="M302" s="90"/>
    </row>
    <row r="303">
      <c r="A303" s="24"/>
      <c r="B303" s="24"/>
      <c r="C303" s="24"/>
      <c r="D303" s="24"/>
      <c r="E303" s="24"/>
      <c r="F303" s="24"/>
      <c r="G303" s="24"/>
      <c r="H303" s="24"/>
      <c r="I303" s="24"/>
      <c r="J303" s="24"/>
      <c r="K303" s="24"/>
      <c r="L303" s="24"/>
      <c r="M303" s="90"/>
    </row>
    <row r="304">
      <c r="A304" s="24"/>
      <c r="B304" s="24"/>
      <c r="C304" s="24"/>
      <c r="D304" s="24"/>
      <c r="E304" s="24"/>
      <c r="F304" s="24"/>
      <c r="G304" s="24"/>
      <c r="H304" s="24"/>
      <c r="I304" s="24"/>
      <c r="J304" s="24"/>
      <c r="K304" s="24"/>
      <c r="L304" s="24"/>
      <c r="M304" s="90"/>
    </row>
    <row r="305">
      <c r="A305" s="24"/>
      <c r="B305" s="24"/>
      <c r="C305" s="24"/>
      <c r="D305" s="24"/>
      <c r="E305" s="24"/>
      <c r="F305" s="24"/>
      <c r="G305" s="24"/>
      <c r="H305" s="24"/>
      <c r="I305" s="24"/>
      <c r="J305" s="24"/>
      <c r="K305" s="24"/>
      <c r="L305" s="24"/>
      <c r="M305" s="90"/>
    </row>
    <row r="306">
      <c r="A306" s="24"/>
      <c r="B306" s="24"/>
      <c r="C306" s="24"/>
      <c r="D306" s="24"/>
      <c r="E306" s="24"/>
      <c r="F306" s="24"/>
      <c r="G306" s="24"/>
      <c r="H306" s="24"/>
      <c r="I306" s="24"/>
      <c r="J306" s="24"/>
      <c r="K306" s="24"/>
      <c r="L306" s="24"/>
      <c r="M306" s="90"/>
    </row>
    <row r="307">
      <c r="A307" s="24"/>
      <c r="B307" s="24"/>
      <c r="C307" s="24"/>
      <c r="D307" s="24"/>
      <c r="E307" s="24"/>
      <c r="F307" s="24"/>
      <c r="G307" s="24"/>
      <c r="H307" s="24"/>
      <c r="I307" s="24"/>
      <c r="J307" s="24"/>
      <c r="K307" s="24"/>
      <c r="L307" s="24"/>
      <c r="M307" s="90"/>
    </row>
    <row r="308">
      <c r="A308" s="24"/>
      <c r="B308" s="24"/>
      <c r="C308" s="24"/>
      <c r="D308" s="24"/>
      <c r="E308" s="24"/>
      <c r="F308" s="24"/>
      <c r="G308" s="24"/>
      <c r="H308" s="24"/>
      <c r="I308" s="24"/>
      <c r="J308" s="24"/>
      <c r="K308" s="24"/>
      <c r="L308" s="24"/>
      <c r="M308" s="90"/>
    </row>
    <row r="309">
      <c r="A309" s="24"/>
      <c r="B309" s="24"/>
      <c r="C309" s="24"/>
      <c r="D309" s="24"/>
      <c r="E309" s="24"/>
      <c r="F309" s="24"/>
      <c r="G309" s="24"/>
      <c r="H309" s="24"/>
      <c r="I309" s="24"/>
      <c r="J309" s="24"/>
      <c r="K309" s="24"/>
      <c r="L309" s="24"/>
      <c r="M309" s="90"/>
    </row>
    <row r="310">
      <c r="A310" s="24"/>
      <c r="B310" s="24"/>
      <c r="C310" s="24"/>
      <c r="D310" s="24"/>
      <c r="E310" s="24"/>
      <c r="F310" s="24"/>
      <c r="G310" s="24"/>
      <c r="H310" s="24"/>
      <c r="I310" s="24"/>
      <c r="J310" s="24"/>
      <c r="K310" s="24"/>
      <c r="L310" s="24"/>
      <c r="M310" s="90"/>
    </row>
    <row r="311">
      <c r="A311" s="24"/>
      <c r="B311" s="24"/>
      <c r="C311" s="24"/>
      <c r="D311" s="24"/>
      <c r="E311" s="24"/>
      <c r="F311" s="24"/>
      <c r="G311" s="24"/>
      <c r="H311" s="24"/>
      <c r="I311" s="24"/>
      <c r="J311" s="24"/>
      <c r="K311" s="24"/>
      <c r="L311" s="24"/>
      <c r="M311" s="90"/>
    </row>
    <row r="312">
      <c r="A312" s="24"/>
      <c r="B312" s="24"/>
      <c r="C312" s="24"/>
      <c r="D312" s="24"/>
      <c r="E312" s="24"/>
      <c r="F312" s="24"/>
      <c r="G312" s="24"/>
      <c r="H312" s="24"/>
      <c r="I312" s="24"/>
      <c r="J312" s="24"/>
      <c r="K312" s="24"/>
      <c r="L312" s="24"/>
      <c r="M312" s="90"/>
    </row>
    <row r="313">
      <c r="A313" s="24"/>
      <c r="B313" s="24"/>
      <c r="C313" s="24"/>
      <c r="D313" s="24"/>
      <c r="E313" s="24"/>
      <c r="F313" s="24"/>
      <c r="G313" s="24"/>
      <c r="H313" s="24"/>
      <c r="I313" s="24"/>
      <c r="J313" s="24"/>
      <c r="K313" s="24"/>
      <c r="L313" s="24"/>
      <c r="M313" s="90"/>
    </row>
    <row r="314">
      <c r="A314" s="24"/>
      <c r="B314" s="24"/>
      <c r="C314" s="24"/>
      <c r="D314" s="24"/>
      <c r="E314" s="24"/>
      <c r="F314" s="24"/>
      <c r="G314" s="24"/>
      <c r="H314" s="24"/>
      <c r="I314" s="24"/>
      <c r="J314" s="24"/>
      <c r="K314" s="24"/>
      <c r="L314" s="24"/>
      <c r="M314" s="90"/>
    </row>
    <row r="315">
      <c r="A315" s="24"/>
      <c r="B315" s="24"/>
      <c r="C315" s="24"/>
      <c r="D315" s="24"/>
      <c r="E315" s="24"/>
      <c r="F315" s="24"/>
      <c r="G315" s="24"/>
      <c r="H315" s="24"/>
      <c r="I315" s="24"/>
      <c r="J315" s="24"/>
      <c r="K315" s="24"/>
      <c r="L315" s="24"/>
      <c r="M315" s="90"/>
    </row>
    <row r="316">
      <c r="A316" s="24"/>
      <c r="B316" s="24"/>
      <c r="C316" s="24"/>
      <c r="D316" s="24"/>
      <c r="E316" s="24"/>
      <c r="F316" s="24"/>
      <c r="G316" s="24"/>
      <c r="H316" s="24"/>
      <c r="I316" s="24"/>
      <c r="J316" s="24"/>
      <c r="K316" s="24"/>
      <c r="L316" s="24"/>
      <c r="M316" s="90"/>
    </row>
    <row r="317">
      <c r="A317" s="24"/>
      <c r="B317" s="24"/>
      <c r="C317" s="24"/>
      <c r="D317" s="24"/>
      <c r="E317" s="24"/>
      <c r="F317" s="24"/>
      <c r="G317" s="24"/>
      <c r="H317" s="24"/>
      <c r="I317" s="24"/>
      <c r="J317" s="24"/>
      <c r="K317" s="24"/>
      <c r="L317" s="24"/>
      <c r="M317" s="90"/>
    </row>
    <row r="318">
      <c r="A318" s="24"/>
      <c r="B318" s="24"/>
      <c r="C318" s="24"/>
      <c r="D318" s="24"/>
      <c r="E318" s="24"/>
      <c r="F318" s="24"/>
      <c r="G318" s="24"/>
      <c r="H318" s="24"/>
      <c r="I318" s="24"/>
      <c r="J318" s="24"/>
      <c r="K318" s="24"/>
      <c r="L318" s="24"/>
      <c r="M318" s="90"/>
    </row>
    <row r="319">
      <c r="A319" s="24"/>
      <c r="B319" s="24"/>
      <c r="C319" s="24"/>
      <c r="D319" s="24"/>
      <c r="E319" s="24"/>
      <c r="F319" s="24"/>
      <c r="G319" s="24"/>
      <c r="H319" s="24"/>
      <c r="I319" s="24"/>
      <c r="J319" s="24"/>
      <c r="K319" s="24"/>
      <c r="L319" s="24"/>
      <c r="M319" s="90"/>
    </row>
    <row r="320">
      <c r="A320" s="24"/>
      <c r="B320" s="24"/>
      <c r="C320" s="24"/>
      <c r="D320" s="24"/>
      <c r="E320" s="24"/>
      <c r="F320" s="24"/>
      <c r="G320" s="24"/>
      <c r="H320" s="24"/>
      <c r="I320" s="24"/>
      <c r="J320" s="24"/>
      <c r="K320" s="24"/>
      <c r="L320" s="24"/>
      <c r="M320" s="90"/>
    </row>
    <row r="321">
      <c r="A321" s="24"/>
      <c r="B321" s="24"/>
      <c r="C321" s="24"/>
      <c r="D321" s="24"/>
      <c r="E321" s="24"/>
      <c r="F321" s="24"/>
      <c r="G321" s="24"/>
      <c r="H321" s="24"/>
      <c r="I321" s="24"/>
      <c r="J321" s="24"/>
      <c r="K321" s="24"/>
      <c r="L321" s="24"/>
      <c r="M321" s="90"/>
    </row>
    <row r="322">
      <c r="A322" s="24"/>
      <c r="B322" s="24"/>
      <c r="C322" s="24"/>
      <c r="D322" s="24"/>
      <c r="E322" s="24"/>
      <c r="F322" s="24"/>
      <c r="G322" s="24"/>
      <c r="H322" s="24"/>
      <c r="I322" s="24"/>
      <c r="J322" s="24"/>
      <c r="K322" s="24"/>
      <c r="L322" s="24"/>
      <c r="M322" s="90"/>
    </row>
    <row r="323">
      <c r="A323" s="24"/>
      <c r="B323" s="24"/>
      <c r="C323" s="24"/>
      <c r="D323" s="24"/>
      <c r="E323" s="24"/>
      <c r="F323" s="24"/>
      <c r="G323" s="24"/>
      <c r="H323" s="24"/>
      <c r="I323" s="24"/>
      <c r="J323" s="24"/>
      <c r="K323" s="24"/>
      <c r="L323" s="24"/>
      <c r="M323" s="90"/>
    </row>
    <row r="324">
      <c r="A324" s="24"/>
      <c r="B324" s="24"/>
      <c r="C324" s="24"/>
      <c r="D324" s="24"/>
      <c r="E324" s="24"/>
      <c r="F324" s="24"/>
      <c r="G324" s="24"/>
      <c r="H324" s="24"/>
      <c r="I324" s="24"/>
      <c r="J324" s="24"/>
      <c r="K324" s="24"/>
      <c r="L324" s="24"/>
      <c r="M324" s="90"/>
    </row>
    <row r="325">
      <c r="A325" s="24"/>
      <c r="B325" s="24"/>
      <c r="C325" s="24"/>
      <c r="D325" s="24"/>
      <c r="E325" s="24"/>
      <c r="F325" s="24"/>
      <c r="G325" s="24"/>
      <c r="H325" s="24"/>
      <c r="I325" s="24"/>
      <c r="J325" s="24"/>
      <c r="K325" s="24"/>
      <c r="L325" s="24"/>
      <c r="M325" s="90"/>
    </row>
    <row r="326">
      <c r="A326" s="24"/>
      <c r="B326" s="24"/>
      <c r="C326" s="24"/>
      <c r="D326" s="24"/>
      <c r="E326" s="24"/>
      <c r="F326" s="24"/>
      <c r="G326" s="24"/>
      <c r="H326" s="24"/>
      <c r="I326" s="24"/>
      <c r="J326" s="24"/>
      <c r="K326" s="24"/>
      <c r="L326" s="24"/>
      <c r="M326" s="90"/>
    </row>
    <row r="327">
      <c r="A327" s="24"/>
      <c r="B327" s="24"/>
      <c r="C327" s="24"/>
      <c r="D327" s="24"/>
      <c r="E327" s="24"/>
      <c r="F327" s="24"/>
      <c r="G327" s="24"/>
      <c r="H327" s="24"/>
      <c r="I327" s="24"/>
      <c r="J327" s="24"/>
      <c r="K327" s="24"/>
      <c r="L327" s="24"/>
      <c r="M327" s="90"/>
    </row>
    <row r="328">
      <c r="A328" s="24"/>
      <c r="B328" s="24"/>
      <c r="C328" s="24"/>
      <c r="D328" s="24"/>
      <c r="E328" s="24"/>
      <c r="F328" s="24"/>
      <c r="G328" s="24"/>
      <c r="H328" s="24"/>
      <c r="I328" s="24"/>
      <c r="J328" s="24"/>
      <c r="K328" s="24"/>
      <c r="L328" s="24"/>
      <c r="M328" s="90"/>
    </row>
    <row r="329">
      <c r="A329" s="24"/>
      <c r="B329" s="24"/>
      <c r="C329" s="24"/>
      <c r="D329" s="24"/>
      <c r="E329" s="24"/>
      <c r="F329" s="24"/>
      <c r="G329" s="24"/>
      <c r="H329" s="24"/>
      <c r="I329" s="24"/>
      <c r="J329" s="24"/>
      <c r="K329" s="24"/>
      <c r="L329" s="24"/>
      <c r="M329" s="90"/>
    </row>
    <row r="330">
      <c r="A330" s="24"/>
      <c r="B330" s="24"/>
      <c r="C330" s="24"/>
      <c r="D330" s="24"/>
      <c r="E330" s="24"/>
      <c r="F330" s="24"/>
      <c r="G330" s="24"/>
      <c r="H330" s="24"/>
      <c r="I330" s="24"/>
      <c r="J330" s="24"/>
      <c r="K330" s="24"/>
      <c r="L330" s="24"/>
      <c r="M330" s="90"/>
    </row>
    <row r="331">
      <c r="A331" s="24"/>
      <c r="B331" s="24"/>
      <c r="C331" s="24"/>
      <c r="D331" s="24"/>
      <c r="E331" s="24"/>
      <c r="F331" s="24"/>
      <c r="G331" s="24"/>
      <c r="H331" s="24"/>
      <c r="I331" s="24"/>
      <c r="J331" s="24"/>
      <c r="K331" s="24"/>
      <c r="L331" s="24"/>
      <c r="M331" s="90"/>
    </row>
    <row r="332">
      <c r="A332" s="24"/>
      <c r="B332" s="24"/>
      <c r="C332" s="24"/>
      <c r="D332" s="24"/>
      <c r="E332" s="24"/>
      <c r="F332" s="24"/>
      <c r="G332" s="24"/>
      <c r="H332" s="24"/>
      <c r="I332" s="24"/>
      <c r="J332" s="24"/>
      <c r="K332" s="24"/>
      <c r="L332" s="24"/>
      <c r="M332" s="90"/>
    </row>
    <row r="333">
      <c r="A333" s="24"/>
      <c r="B333" s="24"/>
      <c r="C333" s="24"/>
      <c r="D333" s="24"/>
      <c r="E333" s="24"/>
      <c r="F333" s="24"/>
      <c r="G333" s="24"/>
      <c r="H333" s="24"/>
      <c r="I333" s="24"/>
      <c r="J333" s="24"/>
      <c r="K333" s="24"/>
      <c r="L333" s="24"/>
      <c r="M333" s="90"/>
    </row>
    <row r="334">
      <c r="A334" s="24"/>
      <c r="B334" s="24"/>
      <c r="C334" s="24"/>
      <c r="D334" s="24"/>
      <c r="E334" s="24"/>
      <c r="F334" s="24"/>
      <c r="G334" s="24"/>
      <c r="H334" s="24"/>
      <c r="I334" s="24"/>
      <c r="J334" s="24"/>
      <c r="K334" s="24"/>
      <c r="L334" s="24"/>
      <c r="M334" s="90"/>
    </row>
    <row r="335">
      <c r="A335" s="24"/>
      <c r="B335" s="24"/>
      <c r="C335" s="24"/>
      <c r="D335" s="24"/>
      <c r="E335" s="24"/>
      <c r="F335" s="24"/>
      <c r="G335" s="24"/>
      <c r="H335" s="24"/>
      <c r="I335" s="24"/>
      <c r="J335" s="24"/>
      <c r="K335" s="24"/>
      <c r="L335" s="24"/>
      <c r="M335" s="90"/>
    </row>
    <row r="336">
      <c r="A336" s="24"/>
      <c r="B336" s="24"/>
      <c r="C336" s="24"/>
      <c r="D336" s="24"/>
      <c r="E336" s="24"/>
      <c r="F336" s="24"/>
      <c r="G336" s="24"/>
      <c r="H336" s="24"/>
      <c r="I336" s="24"/>
      <c r="J336" s="24"/>
      <c r="K336" s="24"/>
      <c r="L336" s="24"/>
      <c r="M336" s="90"/>
    </row>
    <row r="337">
      <c r="A337" s="24"/>
      <c r="B337" s="24"/>
      <c r="C337" s="24"/>
      <c r="D337" s="24"/>
      <c r="E337" s="24"/>
      <c r="F337" s="24"/>
      <c r="G337" s="24"/>
      <c r="H337" s="24"/>
      <c r="I337" s="24"/>
      <c r="J337" s="24"/>
      <c r="K337" s="24"/>
      <c r="L337" s="24"/>
      <c r="M337" s="90"/>
    </row>
    <row r="338">
      <c r="A338" s="24"/>
      <c r="B338" s="24"/>
      <c r="C338" s="24"/>
      <c r="D338" s="24"/>
      <c r="E338" s="24"/>
      <c r="F338" s="24"/>
      <c r="G338" s="24"/>
      <c r="H338" s="24"/>
      <c r="I338" s="24"/>
      <c r="J338" s="24"/>
      <c r="K338" s="24"/>
      <c r="L338" s="24"/>
      <c r="M338" s="90"/>
    </row>
    <row r="339">
      <c r="A339" s="24"/>
      <c r="B339" s="24"/>
      <c r="C339" s="24"/>
      <c r="D339" s="24"/>
      <c r="E339" s="24"/>
      <c r="F339" s="24"/>
      <c r="G339" s="24"/>
      <c r="H339" s="24"/>
      <c r="I339" s="24"/>
      <c r="J339" s="24"/>
      <c r="K339" s="24"/>
      <c r="L339" s="24"/>
      <c r="M339" s="90"/>
    </row>
    <row r="340">
      <c r="A340" s="24"/>
      <c r="B340" s="24"/>
      <c r="C340" s="24"/>
      <c r="D340" s="24"/>
      <c r="E340" s="24"/>
      <c r="F340" s="24"/>
      <c r="G340" s="24"/>
      <c r="H340" s="24"/>
      <c r="I340" s="24"/>
      <c r="J340" s="24"/>
      <c r="K340" s="24"/>
      <c r="L340" s="24"/>
      <c r="M340" s="90"/>
    </row>
    <row r="341">
      <c r="A341" s="24"/>
      <c r="B341" s="24"/>
      <c r="C341" s="24"/>
      <c r="D341" s="24"/>
      <c r="E341" s="24"/>
      <c r="F341" s="24"/>
      <c r="G341" s="24"/>
      <c r="H341" s="24"/>
      <c r="I341" s="24"/>
      <c r="J341" s="24"/>
      <c r="K341" s="24"/>
      <c r="L341" s="24"/>
      <c r="M341" s="90"/>
    </row>
    <row r="342">
      <c r="A342" s="24"/>
      <c r="B342" s="24"/>
      <c r="C342" s="24"/>
      <c r="D342" s="24"/>
      <c r="E342" s="24"/>
      <c r="F342" s="24"/>
      <c r="G342" s="24"/>
      <c r="H342" s="24"/>
      <c r="I342" s="24"/>
      <c r="J342" s="24"/>
      <c r="K342" s="24"/>
      <c r="L342" s="24"/>
      <c r="M342" s="90"/>
    </row>
    <row r="343">
      <c r="A343" s="24"/>
      <c r="B343" s="24"/>
      <c r="C343" s="24"/>
      <c r="D343" s="24"/>
      <c r="E343" s="24"/>
      <c r="F343" s="24"/>
      <c r="G343" s="24"/>
      <c r="H343" s="24"/>
      <c r="I343" s="24"/>
      <c r="J343" s="24"/>
      <c r="K343" s="24"/>
      <c r="L343" s="24"/>
      <c r="M343" s="90"/>
    </row>
    <row r="344">
      <c r="A344" s="24"/>
      <c r="B344" s="24"/>
      <c r="C344" s="24"/>
      <c r="D344" s="24"/>
      <c r="E344" s="24"/>
      <c r="F344" s="24"/>
      <c r="G344" s="24"/>
      <c r="H344" s="24"/>
      <c r="I344" s="24"/>
      <c r="J344" s="24"/>
      <c r="K344" s="24"/>
      <c r="L344" s="24"/>
      <c r="M344" s="90"/>
    </row>
    <row r="345">
      <c r="A345" s="24"/>
      <c r="B345" s="24"/>
      <c r="C345" s="24"/>
      <c r="D345" s="24"/>
      <c r="E345" s="24"/>
      <c r="F345" s="24"/>
      <c r="G345" s="24"/>
      <c r="H345" s="24"/>
      <c r="I345" s="24"/>
      <c r="J345" s="24"/>
      <c r="K345" s="24"/>
      <c r="L345" s="24"/>
      <c r="M345" s="90"/>
    </row>
    <row r="346">
      <c r="A346" s="24"/>
      <c r="B346" s="24"/>
      <c r="C346" s="24"/>
      <c r="D346" s="24"/>
      <c r="E346" s="24"/>
      <c r="F346" s="24"/>
      <c r="G346" s="24"/>
      <c r="H346" s="24"/>
      <c r="I346" s="24"/>
      <c r="J346" s="24"/>
      <c r="K346" s="24"/>
      <c r="L346" s="24"/>
      <c r="M346" s="90"/>
    </row>
    <row r="347">
      <c r="A347" s="24"/>
      <c r="B347" s="24"/>
      <c r="C347" s="24"/>
      <c r="D347" s="24"/>
      <c r="E347" s="24"/>
      <c r="F347" s="24"/>
      <c r="G347" s="24"/>
      <c r="H347" s="24"/>
      <c r="I347" s="24"/>
      <c r="J347" s="24"/>
      <c r="K347" s="24"/>
      <c r="L347" s="24"/>
      <c r="M347" s="90"/>
    </row>
    <row r="348">
      <c r="A348" s="24"/>
      <c r="B348" s="24"/>
      <c r="C348" s="24"/>
      <c r="D348" s="24"/>
      <c r="E348" s="24"/>
      <c r="F348" s="24"/>
      <c r="G348" s="24"/>
      <c r="H348" s="24"/>
      <c r="I348" s="24"/>
      <c r="J348" s="24"/>
      <c r="K348" s="24"/>
      <c r="L348" s="24"/>
      <c r="M348" s="90"/>
    </row>
    <row r="349">
      <c r="A349" s="24"/>
      <c r="B349" s="24"/>
      <c r="C349" s="24"/>
      <c r="D349" s="24"/>
      <c r="E349" s="24"/>
      <c r="F349" s="24"/>
      <c r="G349" s="24"/>
      <c r="H349" s="24"/>
      <c r="I349" s="24"/>
      <c r="J349" s="24"/>
      <c r="K349" s="24"/>
      <c r="L349" s="24"/>
      <c r="M349" s="90"/>
    </row>
    <row r="350">
      <c r="A350" s="24"/>
      <c r="B350" s="24"/>
      <c r="C350" s="24"/>
      <c r="D350" s="24"/>
      <c r="E350" s="24"/>
      <c r="F350" s="24"/>
      <c r="G350" s="24"/>
      <c r="H350" s="24"/>
      <c r="I350" s="24"/>
      <c r="J350" s="24"/>
      <c r="K350" s="24"/>
      <c r="L350" s="24"/>
      <c r="M350" s="90"/>
    </row>
    <row r="351">
      <c r="A351" s="24"/>
      <c r="B351" s="24"/>
      <c r="C351" s="24"/>
      <c r="D351" s="24"/>
      <c r="E351" s="24"/>
      <c r="F351" s="24"/>
      <c r="G351" s="24"/>
      <c r="H351" s="24"/>
      <c r="I351" s="24"/>
      <c r="J351" s="24"/>
      <c r="K351" s="24"/>
      <c r="L351" s="24"/>
      <c r="M351" s="90"/>
    </row>
    <row r="352">
      <c r="A352" s="24"/>
      <c r="B352" s="24"/>
      <c r="C352" s="24"/>
      <c r="D352" s="24"/>
      <c r="E352" s="24"/>
      <c r="F352" s="24"/>
      <c r="G352" s="24"/>
      <c r="H352" s="24"/>
      <c r="I352" s="24"/>
      <c r="J352" s="24"/>
      <c r="K352" s="24"/>
      <c r="L352" s="24"/>
      <c r="M352" s="90"/>
    </row>
    <row r="353">
      <c r="A353" s="24"/>
      <c r="B353" s="24"/>
      <c r="C353" s="24"/>
      <c r="D353" s="24"/>
      <c r="E353" s="24"/>
      <c r="F353" s="24"/>
      <c r="G353" s="24"/>
      <c r="H353" s="24"/>
      <c r="I353" s="24"/>
      <c r="J353" s="24"/>
      <c r="K353" s="24"/>
      <c r="L353" s="24"/>
      <c r="M353" s="90"/>
    </row>
    <row r="354">
      <c r="A354" s="24"/>
      <c r="B354" s="24"/>
      <c r="C354" s="24"/>
      <c r="D354" s="24"/>
      <c r="E354" s="24"/>
      <c r="F354" s="24"/>
      <c r="G354" s="24"/>
      <c r="H354" s="24"/>
      <c r="I354" s="24"/>
      <c r="J354" s="24"/>
      <c r="K354" s="24"/>
      <c r="L354" s="24"/>
      <c r="M354" s="90"/>
    </row>
    <row r="355">
      <c r="A355" s="24"/>
      <c r="B355" s="24"/>
      <c r="C355" s="24"/>
      <c r="D355" s="24"/>
      <c r="E355" s="24"/>
      <c r="F355" s="24"/>
      <c r="G355" s="24"/>
      <c r="H355" s="24"/>
      <c r="I355" s="24"/>
      <c r="J355" s="24"/>
      <c r="K355" s="24"/>
      <c r="L355" s="24"/>
      <c r="M355" s="90"/>
    </row>
    <row r="356">
      <c r="A356" s="24"/>
      <c r="B356" s="24"/>
      <c r="C356" s="24"/>
      <c r="D356" s="24"/>
      <c r="E356" s="24"/>
      <c r="F356" s="24"/>
      <c r="G356" s="24"/>
      <c r="H356" s="24"/>
      <c r="I356" s="24"/>
      <c r="J356" s="24"/>
      <c r="K356" s="24"/>
      <c r="L356" s="24"/>
      <c r="M356" s="90"/>
    </row>
    <row r="357">
      <c r="A357" s="24"/>
      <c r="B357" s="24"/>
      <c r="C357" s="24"/>
      <c r="D357" s="24"/>
      <c r="E357" s="24"/>
      <c r="F357" s="24"/>
      <c r="G357" s="24"/>
      <c r="H357" s="24"/>
      <c r="I357" s="24"/>
      <c r="J357" s="24"/>
      <c r="K357" s="24"/>
      <c r="L357" s="24"/>
      <c r="M357" s="90"/>
    </row>
    <row r="358">
      <c r="A358" s="24"/>
      <c r="B358" s="24"/>
      <c r="C358" s="24"/>
      <c r="D358" s="24"/>
      <c r="E358" s="24"/>
      <c r="F358" s="24"/>
      <c r="G358" s="24"/>
      <c r="H358" s="24"/>
      <c r="I358" s="24"/>
      <c r="J358" s="24"/>
      <c r="K358" s="24"/>
      <c r="L358" s="24"/>
      <c r="M358" s="90"/>
    </row>
    <row r="359">
      <c r="A359" s="24"/>
      <c r="B359" s="24"/>
      <c r="C359" s="24"/>
      <c r="D359" s="24"/>
      <c r="E359" s="24"/>
      <c r="F359" s="24"/>
      <c r="G359" s="24"/>
      <c r="H359" s="24"/>
      <c r="I359" s="24"/>
      <c r="J359" s="24"/>
      <c r="K359" s="24"/>
      <c r="L359" s="24"/>
      <c r="M359" s="90"/>
    </row>
    <row r="360">
      <c r="A360" s="24"/>
      <c r="B360" s="24"/>
      <c r="C360" s="24"/>
      <c r="D360" s="24"/>
      <c r="E360" s="24"/>
      <c r="F360" s="24"/>
      <c r="G360" s="24"/>
      <c r="H360" s="24"/>
      <c r="I360" s="24"/>
      <c r="J360" s="24"/>
      <c r="K360" s="24"/>
      <c r="L360" s="24"/>
      <c r="M360" s="90"/>
    </row>
    <row r="361">
      <c r="A361" s="24"/>
      <c r="B361" s="24"/>
      <c r="C361" s="24"/>
      <c r="D361" s="24"/>
      <c r="E361" s="24"/>
      <c r="F361" s="24"/>
      <c r="G361" s="24"/>
      <c r="H361" s="24"/>
      <c r="I361" s="24"/>
      <c r="J361" s="24"/>
      <c r="K361" s="24"/>
      <c r="L361" s="24"/>
      <c r="M361" s="90"/>
    </row>
    <row r="362">
      <c r="A362" s="24"/>
      <c r="B362" s="24"/>
      <c r="C362" s="24"/>
      <c r="D362" s="24"/>
      <c r="E362" s="24"/>
      <c r="F362" s="24"/>
      <c r="G362" s="24"/>
      <c r="H362" s="24"/>
      <c r="I362" s="24"/>
      <c r="J362" s="24"/>
      <c r="K362" s="24"/>
      <c r="L362" s="24"/>
      <c r="M362" s="90"/>
    </row>
    <row r="363">
      <c r="A363" s="24"/>
      <c r="B363" s="24"/>
      <c r="C363" s="24"/>
      <c r="D363" s="24"/>
      <c r="E363" s="24"/>
      <c r="F363" s="24"/>
      <c r="G363" s="24"/>
      <c r="H363" s="24"/>
      <c r="I363" s="24"/>
      <c r="J363" s="24"/>
      <c r="K363" s="24"/>
      <c r="L363" s="24"/>
      <c r="M363" s="90"/>
    </row>
    <row r="364">
      <c r="A364" s="24"/>
      <c r="B364" s="24"/>
      <c r="C364" s="24"/>
      <c r="D364" s="24"/>
      <c r="E364" s="24"/>
      <c r="F364" s="24"/>
      <c r="G364" s="24"/>
      <c r="H364" s="24"/>
      <c r="I364" s="24"/>
      <c r="J364" s="24"/>
      <c r="K364" s="24"/>
      <c r="L364" s="24"/>
      <c r="M364" s="90"/>
    </row>
    <row r="365">
      <c r="A365" s="24"/>
      <c r="B365" s="24"/>
      <c r="C365" s="24"/>
      <c r="D365" s="24"/>
      <c r="E365" s="24"/>
      <c r="F365" s="24"/>
      <c r="G365" s="24"/>
      <c r="H365" s="24"/>
      <c r="I365" s="24"/>
      <c r="J365" s="24"/>
      <c r="K365" s="24"/>
      <c r="L365" s="24"/>
      <c r="M365" s="90"/>
    </row>
    <row r="366">
      <c r="A366" s="24"/>
      <c r="B366" s="24"/>
      <c r="C366" s="24"/>
      <c r="D366" s="24"/>
      <c r="E366" s="24"/>
      <c r="F366" s="24"/>
      <c r="G366" s="24"/>
      <c r="H366" s="24"/>
      <c r="I366" s="24"/>
      <c r="J366" s="24"/>
      <c r="K366" s="24"/>
      <c r="L366" s="24"/>
      <c r="M366" s="90"/>
    </row>
    <row r="367">
      <c r="A367" s="24"/>
      <c r="B367" s="24"/>
      <c r="C367" s="24"/>
      <c r="D367" s="24"/>
      <c r="E367" s="24"/>
      <c r="F367" s="24"/>
      <c r="G367" s="24"/>
      <c r="H367" s="24"/>
      <c r="I367" s="24"/>
      <c r="J367" s="24"/>
      <c r="K367" s="24"/>
      <c r="L367" s="24"/>
      <c r="M367" s="90"/>
    </row>
    <row r="368">
      <c r="A368" s="24"/>
      <c r="B368" s="24"/>
      <c r="C368" s="24"/>
      <c r="D368" s="24"/>
      <c r="E368" s="24"/>
      <c r="F368" s="24"/>
      <c r="G368" s="24"/>
      <c r="H368" s="24"/>
      <c r="I368" s="24"/>
      <c r="J368" s="24"/>
      <c r="K368" s="24"/>
      <c r="L368" s="24"/>
      <c r="M368" s="90"/>
    </row>
    <row r="369">
      <c r="A369" s="24"/>
      <c r="B369" s="24"/>
      <c r="C369" s="24"/>
      <c r="D369" s="24"/>
      <c r="E369" s="24"/>
      <c r="F369" s="24"/>
      <c r="G369" s="24"/>
      <c r="H369" s="24"/>
      <c r="I369" s="24"/>
      <c r="J369" s="24"/>
      <c r="K369" s="24"/>
      <c r="L369" s="24"/>
      <c r="M369" s="90"/>
    </row>
    <row r="370">
      <c r="A370" s="24"/>
      <c r="B370" s="24"/>
      <c r="C370" s="24"/>
      <c r="D370" s="24"/>
      <c r="E370" s="24"/>
      <c r="F370" s="24"/>
      <c r="G370" s="24"/>
      <c r="H370" s="24"/>
      <c r="I370" s="24"/>
      <c r="J370" s="24"/>
      <c r="K370" s="24"/>
      <c r="L370" s="24"/>
      <c r="M370" s="90"/>
    </row>
    <row r="371">
      <c r="A371" s="24"/>
      <c r="B371" s="24"/>
      <c r="C371" s="24"/>
      <c r="D371" s="24"/>
      <c r="E371" s="24"/>
      <c r="F371" s="24"/>
      <c r="G371" s="24"/>
      <c r="H371" s="24"/>
      <c r="I371" s="24"/>
      <c r="J371" s="24"/>
      <c r="K371" s="24"/>
      <c r="L371" s="24"/>
      <c r="M371" s="90"/>
    </row>
    <row r="372">
      <c r="A372" s="24"/>
      <c r="B372" s="24"/>
      <c r="C372" s="24"/>
      <c r="D372" s="24"/>
      <c r="E372" s="24"/>
      <c r="F372" s="24"/>
      <c r="G372" s="24"/>
      <c r="H372" s="24"/>
      <c r="I372" s="24"/>
      <c r="J372" s="24"/>
      <c r="K372" s="24"/>
      <c r="L372" s="24"/>
      <c r="M372" s="90"/>
    </row>
    <row r="373">
      <c r="A373" s="24"/>
      <c r="B373" s="24"/>
      <c r="C373" s="24"/>
      <c r="D373" s="24"/>
      <c r="E373" s="24"/>
      <c r="F373" s="24"/>
      <c r="G373" s="24"/>
      <c r="H373" s="24"/>
      <c r="I373" s="24"/>
      <c r="J373" s="24"/>
      <c r="K373" s="24"/>
      <c r="L373" s="24"/>
      <c r="M373" s="90"/>
    </row>
    <row r="374">
      <c r="A374" s="24"/>
      <c r="B374" s="24"/>
      <c r="C374" s="24"/>
      <c r="D374" s="24"/>
      <c r="E374" s="24"/>
      <c r="F374" s="24"/>
      <c r="G374" s="24"/>
      <c r="H374" s="24"/>
      <c r="I374" s="24"/>
      <c r="J374" s="24"/>
      <c r="K374" s="24"/>
      <c r="L374" s="24"/>
      <c r="M374" s="90"/>
    </row>
    <row r="375">
      <c r="A375" s="24"/>
      <c r="B375" s="24"/>
      <c r="C375" s="24"/>
      <c r="D375" s="24"/>
      <c r="E375" s="24"/>
      <c r="F375" s="24"/>
      <c r="G375" s="24"/>
      <c r="H375" s="24"/>
      <c r="I375" s="24"/>
      <c r="J375" s="24"/>
      <c r="K375" s="24"/>
      <c r="L375" s="24"/>
      <c r="M375" s="90"/>
    </row>
    <row r="376">
      <c r="A376" s="24"/>
      <c r="B376" s="24"/>
      <c r="C376" s="24"/>
      <c r="D376" s="24"/>
      <c r="E376" s="24"/>
      <c r="F376" s="24"/>
      <c r="G376" s="24"/>
      <c r="H376" s="24"/>
      <c r="I376" s="24"/>
      <c r="J376" s="24"/>
      <c r="K376" s="24"/>
      <c r="L376" s="24"/>
      <c r="M376" s="90"/>
    </row>
    <row r="377">
      <c r="A377" s="24"/>
      <c r="B377" s="24"/>
      <c r="C377" s="24"/>
      <c r="D377" s="24"/>
      <c r="E377" s="24"/>
      <c r="F377" s="24"/>
      <c r="G377" s="24"/>
      <c r="H377" s="24"/>
      <c r="I377" s="24"/>
      <c r="J377" s="24"/>
      <c r="K377" s="24"/>
      <c r="L377" s="24"/>
      <c r="M377" s="90"/>
    </row>
    <row r="378">
      <c r="A378" s="24"/>
      <c r="B378" s="24"/>
      <c r="C378" s="24"/>
      <c r="D378" s="24"/>
      <c r="E378" s="24"/>
      <c r="F378" s="24"/>
      <c r="G378" s="24"/>
      <c r="H378" s="24"/>
      <c r="I378" s="24"/>
      <c r="J378" s="24"/>
      <c r="K378" s="24"/>
      <c r="L378" s="24"/>
      <c r="M378" s="90"/>
    </row>
    <row r="379">
      <c r="A379" s="24"/>
      <c r="B379" s="24"/>
      <c r="C379" s="24"/>
      <c r="D379" s="24"/>
      <c r="E379" s="24"/>
      <c r="F379" s="24"/>
      <c r="G379" s="24"/>
      <c r="H379" s="24"/>
      <c r="I379" s="24"/>
      <c r="J379" s="24"/>
      <c r="K379" s="24"/>
      <c r="L379" s="24"/>
      <c r="M379" s="90"/>
    </row>
    <row r="380">
      <c r="A380" s="24"/>
      <c r="B380" s="24"/>
      <c r="C380" s="24"/>
      <c r="D380" s="24"/>
      <c r="E380" s="24"/>
      <c r="F380" s="24"/>
      <c r="G380" s="24"/>
      <c r="H380" s="24"/>
      <c r="I380" s="24"/>
      <c r="J380" s="24"/>
      <c r="K380" s="24"/>
      <c r="L380" s="24"/>
      <c r="M380" s="90"/>
    </row>
    <row r="381">
      <c r="A381" s="24"/>
      <c r="B381" s="24"/>
      <c r="C381" s="24"/>
      <c r="D381" s="24"/>
      <c r="E381" s="24"/>
      <c r="F381" s="24"/>
      <c r="G381" s="24"/>
      <c r="H381" s="24"/>
      <c r="I381" s="24"/>
      <c r="J381" s="24"/>
      <c r="K381" s="24"/>
      <c r="L381" s="24"/>
      <c r="M381" s="90"/>
    </row>
    <row r="382">
      <c r="A382" s="24"/>
      <c r="B382" s="24"/>
      <c r="C382" s="24"/>
      <c r="D382" s="24"/>
      <c r="E382" s="24"/>
      <c r="F382" s="24"/>
      <c r="G382" s="24"/>
      <c r="H382" s="24"/>
      <c r="I382" s="24"/>
      <c r="J382" s="24"/>
      <c r="K382" s="24"/>
      <c r="L382" s="24"/>
      <c r="M382" s="90"/>
    </row>
    <row r="383">
      <c r="A383" s="24"/>
      <c r="B383" s="24"/>
      <c r="C383" s="24"/>
      <c r="D383" s="24"/>
      <c r="E383" s="24"/>
      <c r="F383" s="24"/>
      <c r="G383" s="24"/>
      <c r="H383" s="24"/>
      <c r="I383" s="24"/>
      <c r="J383" s="24"/>
      <c r="K383" s="24"/>
      <c r="L383" s="24"/>
      <c r="M383" s="90"/>
    </row>
    <row r="384">
      <c r="A384" s="24"/>
      <c r="B384" s="24"/>
      <c r="C384" s="24"/>
      <c r="D384" s="24"/>
      <c r="E384" s="24"/>
      <c r="F384" s="24"/>
      <c r="G384" s="24"/>
      <c r="H384" s="24"/>
      <c r="I384" s="24"/>
      <c r="J384" s="24"/>
      <c r="K384" s="24"/>
      <c r="L384" s="24"/>
      <c r="M384" s="90"/>
    </row>
    <row r="385">
      <c r="A385" s="24"/>
      <c r="B385" s="24"/>
      <c r="C385" s="24"/>
      <c r="D385" s="24"/>
      <c r="E385" s="24"/>
      <c r="F385" s="24"/>
      <c r="G385" s="24"/>
      <c r="H385" s="24"/>
      <c r="I385" s="24"/>
      <c r="J385" s="24"/>
      <c r="K385" s="24"/>
      <c r="L385" s="24"/>
      <c r="M385" s="90"/>
    </row>
    <row r="386">
      <c r="A386" s="24"/>
      <c r="B386" s="24"/>
      <c r="C386" s="24"/>
      <c r="D386" s="24"/>
      <c r="E386" s="24"/>
      <c r="F386" s="24"/>
      <c r="G386" s="24"/>
      <c r="H386" s="24"/>
      <c r="I386" s="24"/>
      <c r="J386" s="24"/>
      <c r="K386" s="24"/>
      <c r="L386" s="24"/>
      <c r="M386" s="90"/>
    </row>
    <row r="387">
      <c r="A387" s="24"/>
      <c r="B387" s="24"/>
      <c r="C387" s="24"/>
      <c r="D387" s="24"/>
      <c r="E387" s="24"/>
      <c r="F387" s="24"/>
      <c r="G387" s="24"/>
      <c r="H387" s="24"/>
      <c r="I387" s="24"/>
      <c r="J387" s="24"/>
      <c r="K387" s="24"/>
      <c r="L387" s="24"/>
      <c r="M387" s="90"/>
    </row>
    <row r="388">
      <c r="A388" s="24"/>
      <c r="B388" s="24"/>
      <c r="C388" s="24"/>
      <c r="D388" s="24"/>
      <c r="E388" s="24"/>
      <c r="F388" s="24"/>
      <c r="G388" s="24"/>
      <c r="H388" s="24"/>
      <c r="I388" s="24"/>
      <c r="J388" s="24"/>
      <c r="K388" s="24"/>
      <c r="L388" s="24"/>
      <c r="M388" s="90"/>
    </row>
    <row r="389">
      <c r="A389" s="24"/>
      <c r="B389" s="24"/>
      <c r="C389" s="24"/>
      <c r="D389" s="24"/>
      <c r="E389" s="24"/>
      <c r="F389" s="24"/>
      <c r="G389" s="24"/>
      <c r="H389" s="24"/>
      <c r="I389" s="24"/>
      <c r="J389" s="24"/>
      <c r="K389" s="24"/>
      <c r="L389" s="24"/>
      <c r="M389" s="90"/>
    </row>
    <row r="390">
      <c r="A390" s="24"/>
      <c r="B390" s="24"/>
      <c r="C390" s="24"/>
      <c r="D390" s="24"/>
      <c r="E390" s="24"/>
      <c r="F390" s="24"/>
      <c r="G390" s="24"/>
      <c r="H390" s="24"/>
      <c r="I390" s="24"/>
      <c r="J390" s="24"/>
      <c r="K390" s="24"/>
      <c r="L390" s="24"/>
      <c r="M390" s="90"/>
    </row>
    <row r="391">
      <c r="A391" s="24"/>
      <c r="B391" s="24"/>
      <c r="C391" s="24"/>
      <c r="D391" s="24"/>
      <c r="E391" s="24"/>
      <c r="F391" s="24"/>
      <c r="G391" s="24"/>
      <c r="H391" s="24"/>
      <c r="I391" s="24"/>
      <c r="J391" s="24"/>
      <c r="K391" s="24"/>
      <c r="L391" s="24"/>
      <c r="M391" s="90"/>
    </row>
    <row r="392">
      <c r="A392" s="24"/>
      <c r="B392" s="24"/>
      <c r="C392" s="24"/>
      <c r="D392" s="24"/>
      <c r="E392" s="24"/>
      <c r="F392" s="24"/>
      <c r="G392" s="24"/>
      <c r="H392" s="24"/>
      <c r="I392" s="24"/>
      <c r="J392" s="24"/>
      <c r="K392" s="24"/>
      <c r="L392" s="24"/>
      <c r="M392" s="90"/>
    </row>
    <row r="393">
      <c r="A393" s="24"/>
      <c r="B393" s="24"/>
      <c r="C393" s="24"/>
      <c r="D393" s="24"/>
      <c r="E393" s="24"/>
      <c r="F393" s="24"/>
      <c r="G393" s="24"/>
      <c r="H393" s="24"/>
      <c r="I393" s="24"/>
      <c r="J393" s="24"/>
      <c r="K393" s="24"/>
      <c r="L393" s="24"/>
      <c r="M393" s="90"/>
    </row>
    <row r="394">
      <c r="A394" s="24"/>
      <c r="B394" s="24"/>
      <c r="C394" s="24"/>
      <c r="D394" s="24"/>
      <c r="E394" s="24"/>
      <c r="F394" s="24"/>
      <c r="G394" s="24"/>
      <c r="H394" s="24"/>
      <c r="I394" s="24"/>
      <c r="J394" s="24"/>
      <c r="K394" s="24"/>
      <c r="L394" s="24"/>
      <c r="M394" s="90"/>
    </row>
    <row r="395">
      <c r="A395" s="24"/>
      <c r="B395" s="24"/>
      <c r="C395" s="24"/>
      <c r="D395" s="24"/>
      <c r="E395" s="24"/>
      <c r="F395" s="24"/>
      <c r="G395" s="24"/>
      <c r="H395" s="24"/>
      <c r="I395" s="24"/>
      <c r="J395" s="24"/>
      <c r="K395" s="24"/>
      <c r="L395" s="24"/>
      <c r="M395" s="90"/>
    </row>
    <row r="396">
      <c r="A396" s="24"/>
      <c r="B396" s="24"/>
      <c r="C396" s="24"/>
      <c r="D396" s="24"/>
      <c r="E396" s="24"/>
      <c r="F396" s="24"/>
      <c r="G396" s="24"/>
      <c r="H396" s="24"/>
      <c r="I396" s="24"/>
      <c r="J396" s="24"/>
      <c r="K396" s="24"/>
      <c r="L396" s="24"/>
      <c r="M396" s="90"/>
    </row>
    <row r="397">
      <c r="A397" s="24"/>
      <c r="B397" s="24"/>
      <c r="C397" s="24"/>
      <c r="D397" s="24"/>
      <c r="E397" s="24"/>
      <c r="F397" s="24"/>
      <c r="G397" s="24"/>
      <c r="H397" s="24"/>
      <c r="I397" s="24"/>
      <c r="J397" s="24"/>
      <c r="K397" s="24"/>
      <c r="L397" s="24"/>
      <c r="M397" s="90"/>
    </row>
    <row r="398">
      <c r="A398" s="24"/>
      <c r="B398" s="24"/>
      <c r="C398" s="24"/>
      <c r="D398" s="24"/>
      <c r="E398" s="24"/>
      <c r="F398" s="24"/>
      <c r="G398" s="24"/>
      <c r="H398" s="24"/>
      <c r="I398" s="24"/>
      <c r="J398" s="24"/>
      <c r="K398" s="24"/>
      <c r="L398" s="24"/>
      <c r="M398" s="90"/>
    </row>
    <row r="399">
      <c r="A399" s="24"/>
      <c r="B399" s="24"/>
      <c r="C399" s="24"/>
      <c r="D399" s="24"/>
      <c r="E399" s="24"/>
      <c r="F399" s="24"/>
      <c r="G399" s="24"/>
      <c r="H399" s="24"/>
      <c r="I399" s="24"/>
      <c r="J399" s="24"/>
      <c r="K399" s="24"/>
      <c r="L399" s="24"/>
      <c r="M399" s="90"/>
    </row>
    <row r="400">
      <c r="A400" s="24"/>
      <c r="B400" s="24"/>
      <c r="C400" s="24"/>
      <c r="D400" s="24"/>
      <c r="E400" s="24"/>
      <c r="F400" s="24"/>
      <c r="G400" s="24"/>
      <c r="H400" s="24"/>
      <c r="I400" s="24"/>
      <c r="J400" s="24"/>
      <c r="K400" s="24"/>
      <c r="L400" s="24"/>
      <c r="M400" s="90"/>
    </row>
    <row r="401">
      <c r="A401" s="24"/>
      <c r="B401" s="24"/>
      <c r="C401" s="24"/>
      <c r="D401" s="24"/>
      <c r="E401" s="24"/>
      <c r="F401" s="24"/>
      <c r="G401" s="24"/>
      <c r="H401" s="24"/>
      <c r="I401" s="24"/>
      <c r="J401" s="24"/>
      <c r="K401" s="24"/>
      <c r="L401" s="24"/>
      <c r="M401" s="90"/>
    </row>
    <row r="402">
      <c r="A402" s="24"/>
      <c r="B402" s="24"/>
      <c r="C402" s="24"/>
      <c r="D402" s="24"/>
      <c r="E402" s="24"/>
      <c r="F402" s="24"/>
      <c r="G402" s="24"/>
      <c r="H402" s="24"/>
      <c r="I402" s="24"/>
      <c r="J402" s="24"/>
      <c r="K402" s="24"/>
      <c r="L402" s="24"/>
      <c r="M402" s="90"/>
    </row>
    <row r="403">
      <c r="A403" s="24"/>
      <c r="B403" s="24"/>
      <c r="C403" s="24"/>
      <c r="D403" s="24"/>
      <c r="E403" s="24"/>
      <c r="F403" s="24"/>
      <c r="G403" s="24"/>
      <c r="H403" s="24"/>
      <c r="I403" s="24"/>
      <c r="J403" s="24"/>
      <c r="K403" s="24"/>
      <c r="L403" s="24"/>
      <c r="M403" s="90"/>
    </row>
    <row r="404">
      <c r="A404" s="24"/>
      <c r="B404" s="24"/>
      <c r="C404" s="24"/>
      <c r="D404" s="24"/>
      <c r="E404" s="24"/>
      <c r="F404" s="24"/>
      <c r="G404" s="24"/>
      <c r="H404" s="24"/>
      <c r="I404" s="24"/>
      <c r="J404" s="24"/>
      <c r="K404" s="24"/>
      <c r="L404" s="24"/>
      <c r="M404" s="90"/>
    </row>
    <row r="405">
      <c r="A405" s="24"/>
      <c r="B405" s="24"/>
      <c r="C405" s="24"/>
      <c r="D405" s="24"/>
      <c r="E405" s="24"/>
      <c r="F405" s="24"/>
      <c r="G405" s="24"/>
      <c r="H405" s="24"/>
      <c r="I405" s="24"/>
      <c r="J405" s="24"/>
      <c r="K405" s="24"/>
      <c r="L405" s="24"/>
      <c r="M405" s="90"/>
    </row>
    <row r="406">
      <c r="A406" s="24"/>
      <c r="B406" s="24"/>
      <c r="C406" s="24"/>
      <c r="D406" s="24"/>
      <c r="E406" s="24"/>
      <c r="F406" s="24"/>
      <c r="G406" s="24"/>
      <c r="H406" s="24"/>
      <c r="I406" s="24"/>
      <c r="J406" s="24"/>
      <c r="K406" s="24"/>
      <c r="L406" s="24"/>
      <c r="M406" s="90"/>
    </row>
    <row r="407">
      <c r="A407" s="24"/>
      <c r="B407" s="24"/>
      <c r="C407" s="24"/>
      <c r="D407" s="24"/>
      <c r="E407" s="24"/>
      <c r="F407" s="24"/>
      <c r="G407" s="24"/>
      <c r="H407" s="24"/>
      <c r="I407" s="24"/>
      <c r="J407" s="24"/>
      <c r="K407" s="24"/>
      <c r="L407" s="24"/>
      <c r="M407" s="90"/>
    </row>
    <row r="408">
      <c r="A408" s="24"/>
      <c r="B408" s="24"/>
      <c r="C408" s="24"/>
      <c r="D408" s="24"/>
      <c r="E408" s="24"/>
      <c r="F408" s="24"/>
      <c r="G408" s="24"/>
      <c r="H408" s="24"/>
      <c r="I408" s="24"/>
      <c r="J408" s="24"/>
      <c r="K408" s="24"/>
      <c r="L408" s="24"/>
      <c r="M408" s="90"/>
    </row>
    <row r="409">
      <c r="A409" s="24"/>
      <c r="B409" s="24"/>
      <c r="C409" s="24"/>
      <c r="D409" s="24"/>
      <c r="E409" s="24"/>
      <c r="F409" s="24"/>
      <c r="G409" s="24"/>
      <c r="H409" s="24"/>
      <c r="I409" s="24"/>
      <c r="J409" s="24"/>
      <c r="K409" s="24"/>
      <c r="L409" s="24"/>
      <c r="M409" s="90"/>
    </row>
    <row r="410">
      <c r="A410" s="24"/>
      <c r="B410" s="24"/>
      <c r="C410" s="24"/>
      <c r="D410" s="24"/>
      <c r="E410" s="24"/>
      <c r="F410" s="24"/>
      <c r="G410" s="24"/>
      <c r="H410" s="24"/>
      <c r="I410" s="24"/>
      <c r="J410" s="24"/>
      <c r="K410" s="24"/>
      <c r="L410" s="24"/>
      <c r="M410" s="90"/>
    </row>
    <row r="411">
      <c r="A411" s="24"/>
      <c r="B411" s="24"/>
      <c r="C411" s="24"/>
      <c r="D411" s="24"/>
      <c r="E411" s="24"/>
      <c r="F411" s="24"/>
      <c r="G411" s="24"/>
      <c r="H411" s="24"/>
      <c r="I411" s="24"/>
      <c r="J411" s="24"/>
      <c r="K411" s="24"/>
      <c r="L411" s="24"/>
      <c r="M411" s="90"/>
    </row>
    <row r="412">
      <c r="A412" s="24"/>
      <c r="B412" s="24"/>
      <c r="C412" s="24"/>
      <c r="D412" s="24"/>
      <c r="E412" s="24"/>
      <c r="F412" s="24"/>
      <c r="G412" s="24"/>
      <c r="H412" s="24"/>
      <c r="I412" s="24"/>
      <c r="J412" s="24"/>
      <c r="K412" s="24"/>
      <c r="L412" s="24"/>
      <c r="M412" s="90"/>
    </row>
    <row r="413">
      <c r="A413" s="24"/>
      <c r="B413" s="24"/>
      <c r="C413" s="24"/>
      <c r="D413" s="24"/>
      <c r="E413" s="24"/>
      <c r="F413" s="24"/>
      <c r="G413" s="24"/>
      <c r="H413" s="24"/>
      <c r="I413" s="24"/>
      <c r="J413" s="24"/>
      <c r="K413" s="24"/>
      <c r="L413" s="24"/>
      <c r="M413" s="90"/>
    </row>
    <row r="414">
      <c r="A414" s="24"/>
      <c r="B414" s="24"/>
      <c r="C414" s="24"/>
      <c r="D414" s="24"/>
      <c r="E414" s="24"/>
      <c r="F414" s="24"/>
      <c r="G414" s="24"/>
      <c r="H414" s="24"/>
      <c r="I414" s="24"/>
      <c r="J414" s="24"/>
      <c r="K414" s="24"/>
      <c r="L414" s="24"/>
      <c r="M414" s="90"/>
    </row>
    <row r="415">
      <c r="A415" s="24"/>
      <c r="B415" s="24"/>
      <c r="C415" s="24"/>
      <c r="D415" s="24"/>
      <c r="E415" s="24"/>
      <c r="F415" s="24"/>
      <c r="G415" s="24"/>
      <c r="H415" s="24"/>
      <c r="I415" s="24"/>
      <c r="J415" s="24"/>
      <c r="K415" s="24"/>
      <c r="L415" s="24"/>
      <c r="M415" s="90"/>
    </row>
    <row r="416">
      <c r="A416" s="24"/>
      <c r="B416" s="24"/>
      <c r="C416" s="24"/>
      <c r="D416" s="24"/>
      <c r="E416" s="24"/>
      <c r="F416" s="24"/>
      <c r="G416" s="24"/>
      <c r="H416" s="24"/>
      <c r="I416" s="24"/>
      <c r="J416" s="24"/>
      <c r="K416" s="24"/>
      <c r="L416" s="24"/>
      <c r="M416" s="90"/>
    </row>
    <row r="417">
      <c r="A417" s="24"/>
      <c r="B417" s="24"/>
      <c r="C417" s="24"/>
      <c r="D417" s="24"/>
      <c r="E417" s="24"/>
      <c r="F417" s="24"/>
      <c r="G417" s="24"/>
      <c r="H417" s="24"/>
      <c r="I417" s="24"/>
      <c r="J417" s="24"/>
      <c r="K417" s="24"/>
      <c r="L417" s="24"/>
      <c r="M417" s="90"/>
    </row>
    <row r="418">
      <c r="A418" s="24"/>
      <c r="B418" s="24"/>
      <c r="C418" s="24"/>
      <c r="D418" s="24"/>
      <c r="E418" s="24"/>
      <c r="F418" s="24"/>
      <c r="G418" s="24"/>
      <c r="H418" s="24"/>
      <c r="I418" s="24"/>
      <c r="J418" s="24"/>
      <c r="K418" s="24"/>
      <c r="L418" s="24"/>
      <c r="M418" s="90"/>
    </row>
    <row r="419">
      <c r="A419" s="24"/>
      <c r="B419" s="24"/>
      <c r="C419" s="24"/>
      <c r="D419" s="24"/>
      <c r="E419" s="24"/>
      <c r="F419" s="24"/>
      <c r="G419" s="24"/>
      <c r="H419" s="24"/>
      <c r="I419" s="24"/>
      <c r="J419" s="24"/>
      <c r="K419" s="24"/>
      <c r="L419" s="24"/>
      <c r="M419" s="90"/>
    </row>
    <row r="420">
      <c r="A420" s="24"/>
      <c r="B420" s="24"/>
      <c r="C420" s="24"/>
      <c r="D420" s="24"/>
      <c r="E420" s="24"/>
      <c r="F420" s="24"/>
      <c r="G420" s="24"/>
      <c r="H420" s="24"/>
      <c r="I420" s="24"/>
      <c r="J420" s="24"/>
      <c r="K420" s="24"/>
      <c r="L420" s="24"/>
      <c r="M420" s="90"/>
    </row>
    <row r="421">
      <c r="A421" s="24"/>
      <c r="B421" s="24"/>
      <c r="C421" s="24"/>
      <c r="D421" s="24"/>
      <c r="E421" s="24"/>
      <c r="F421" s="24"/>
      <c r="G421" s="24"/>
      <c r="H421" s="24"/>
      <c r="I421" s="24"/>
      <c r="J421" s="24"/>
      <c r="K421" s="24"/>
      <c r="L421" s="24"/>
      <c r="M421" s="90"/>
    </row>
    <row r="422">
      <c r="A422" s="24"/>
      <c r="B422" s="24"/>
      <c r="C422" s="24"/>
      <c r="D422" s="24"/>
      <c r="E422" s="24"/>
      <c r="F422" s="24"/>
      <c r="G422" s="24"/>
      <c r="H422" s="24"/>
      <c r="I422" s="24"/>
      <c r="J422" s="24"/>
      <c r="K422" s="24"/>
      <c r="L422" s="24"/>
      <c r="M422" s="90"/>
    </row>
    <row r="423">
      <c r="A423" s="24"/>
      <c r="B423" s="24"/>
      <c r="C423" s="24"/>
      <c r="D423" s="24"/>
      <c r="E423" s="24"/>
      <c r="F423" s="24"/>
      <c r="G423" s="24"/>
      <c r="H423" s="24"/>
      <c r="I423" s="24"/>
      <c r="J423" s="24"/>
      <c r="K423" s="24"/>
      <c r="L423" s="24"/>
      <c r="M423" s="90"/>
    </row>
    <row r="424">
      <c r="A424" s="24"/>
      <c r="B424" s="24"/>
      <c r="C424" s="24"/>
      <c r="D424" s="24"/>
      <c r="E424" s="24"/>
      <c r="F424" s="24"/>
      <c r="G424" s="24"/>
      <c r="H424" s="24"/>
      <c r="I424" s="24"/>
      <c r="J424" s="24"/>
      <c r="K424" s="24"/>
      <c r="L424" s="24"/>
      <c r="M424" s="90"/>
    </row>
    <row r="425">
      <c r="A425" s="24"/>
      <c r="B425" s="24"/>
      <c r="C425" s="24"/>
      <c r="D425" s="24"/>
      <c r="E425" s="24"/>
      <c r="F425" s="24"/>
      <c r="G425" s="24"/>
      <c r="H425" s="24"/>
      <c r="I425" s="24"/>
      <c r="J425" s="24"/>
      <c r="K425" s="24"/>
      <c r="L425" s="24"/>
      <c r="M425" s="90"/>
    </row>
    <row r="426">
      <c r="A426" s="24"/>
      <c r="B426" s="24"/>
      <c r="C426" s="24"/>
      <c r="D426" s="24"/>
      <c r="E426" s="24"/>
      <c r="F426" s="24"/>
      <c r="G426" s="24"/>
      <c r="H426" s="24"/>
      <c r="I426" s="24"/>
      <c r="J426" s="24"/>
      <c r="K426" s="24"/>
      <c r="L426" s="24"/>
      <c r="M426" s="90"/>
    </row>
    <row r="427">
      <c r="A427" s="24"/>
      <c r="B427" s="24"/>
      <c r="C427" s="24"/>
      <c r="D427" s="24"/>
      <c r="E427" s="24"/>
      <c r="F427" s="24"/>
      <c r="G427" s="24"/>
      <c r="H427" s="24"/>
      <c r="I427" s="24"/>
      <c r="J427" s="24"/>
      <c r="K427" s="24"/>
      <c r="L427" s="24"/>
      <c r="M427" s="90"/>
    </row>
    <row r="428">
      <c r="A428" s="24"/>
      <c r="B428" s="24"/>
      <c r="C428" s="24"/>
      <c r="D428" s="24"/>
      <c r="E428" s="24"/>
      <c r="F428" s="24"/>
      <c r="G428" s="24"/>
      <c r="H428" s="24"/>
      <c r="I428" s="24"/>
      <c r="J428" s="24"/>
      <c r="K428" s="24"/>
      <c r="L428" s="24"/>
      <c r="M428" s="90"/>
    </row>
    <row r="429">
      <c r="A429" s="24"/>
      <c r="B429" s="24"/>
      <c r="C429" s="24"/>
      <c r="D429" s="24"/>
      <c r="E429" s="24"/>
      <c r="F429" s="24"/>
      <c r="G429" s="24"/>
      <c r="H429" s="24"/>
      <c r="I429" s="24"/>
      <c r="J429" s="24"/>
      <c r="K429" s="24"/>
      <c r="L429" s="24"/>
      <c r="M429" s="90"/>
    </row>
    <row r="430">
      <c r="A430" s="24"/>
      <c r="B430" s="24"/>
      <c r="C430" s="24"/>
      <c r="D430" s="24"/>
      <c r="E430" s="24"/>
      <c r="F430" s="24"/>
      <c r="G430" s="24"/>
      <c r="H430" s="24"/>
      <c r="I430" s="24"/>
      <c r="J430" s="24"/>
      <c r="K430" s="24"/>
      <c r="L430" s="24"/>
      <c r="M430" s="90"/>
    </row>
    <row r="431">
      <c r="A431" s="24"/>
      <c r="B431" s="24"/>
      <c r="C431" s="24"/>
      <c r="D431" s="24"/>
      <c r="E431" s="24"/>
      <c r="F431" s="24"/>
      <c r="G431" s="24"/>
      <c r="H431" s="24"/>
      <c r="I431" s="24"/>
      <c r="J431" s="24"/>
      <c r="K431" s="24"/>
      <c r="L431" s="24"/>
      <c r="M431" s="90"/>
    </row>
    <row r="432">
      <c r="A432" s="24"/>
      <c r="B432" s="24"/>
      <c r="C432" s="24"/>
      <c r="D432" s="24"/>
      <c r="E432" s="24"/>
      <c r="F432" s="24"/>
      <c r="G432" s="24"/>
      <c r="H432" s="24"/>
      <c r="I432" s="24"/>
      <c r="J432" s="24"/>
      <c r="K432" s="24"/>
      <c r="L432" s="24"/>
      <c r="M432" s="90"/>
    </row>
    <row r="433">
      <c r="A433" s="24"/>
      <c r="B433" s="24"/>
      <c r="C433" s="24"/>
      <c r="D433" s="24"/>
      <c r="E433" s="24"/>
      <c r="F433" s="24"/>
      <c r="G433" s="24"/>
      <c r="H433" s="24"/>
      <c r="I433" s="24"/>
      <c r="J433" s="24"/>
      <c r="K433" s="24"/>
      <c r="L433" s="24"/>
      <c r="M433" s="90"/>
    </row>
    <row r="434">
      <c r="A434" s="24"/>
      <c r="B434" s="24"/>
      <c r="C434" s="24"/>
      <c r="D434" s="24"/>
      <c r="E434" s="24"/>
      <c r="F434" s="24"/>
      <c r="G434" s="24"/>
      <c r="H434" s="24"/>
      <c r="I434" s="24"/>
      <c r="J434" s="24"/>
      <c r="K434" s="24"/>
      <c r="L434" s="24"/>
      <c r="M434" s="90"/>
    </row>
    <row r="435">
      <c r="A435" s="24"/>
      <c r="B435" s="24"/>
      <c r="C435" s="24"/>
      <c r="D435" s="24"/>
      <c r="E435" s="24"/>
      <c r="F435" s="24"/>
      <c r="G435" s="24"/>
      <c r="H435" s="24"/>
      <c r="I435" s="24"/>
      <c r="J435" s="24"/>
      <c r="K435" s="24"/>
      <c r="L435" s="24"/>
      <c r="M435" s="90"/>
    </row>
    <row r="436">
      <c r="A436" s="24"/>
      <c r="B436" s="24"/>
      <c r="C436" s="24"/>
      <c r="D436" s="24"/>
      <c r="E436" s="24"/>
      <c r="F436" s="24"/>
      <c r="G436" s="24"/>
      <c r="H436" s="24"/>
      <c r="I436" s="24"/>
      <c r="J436" s="24"/>
      <c r="K436" s="24"/>
      <c r="L436" s="24"/>
      <c r="M436" s="90"/>
    </row>
    <row r="437">
      <c r="A437" s="24"/>
      <c r="B437" s="24"/>
      <c r="C437" s="24"/>
      <c r="D437" s="24"/>
      <c r="E437" s="24"/>
      <c r="F437" s="24"/>
      <c r="G437" s="24"/>
      <c r="H437" s="24"/>
      <c r="I437" s="24"/>
      <c r="J437" s="24"/>
      <c r="K437" s="24"/>
      <c r="L437" s="24"/>
      <c r="M437" s="90"/>
    </row>
    <row r="438">
      <c r="A438" s="24"/>
      <c r="B438" s="24"/>
      <c r="C438" s="24"/>
      <c r="D438" s="24"/>
      <c r="E438" s="24"/>
      <c r="F438" s="24"/>
      <c r="G438" s="24"/>
      <c r="H438" s="24"/>
      <c r="I438" s="24"/>
      <c r="J438" s="24"/>
      <c r="K438" s="24"/>
      <c r="L438" s="24"/>
      <c r="M438" s="90"/>
    </row>
    <row r="439">
      <c r="A439" s="24"/>
      <c r="B439" s="24"/>
      <c r="C439" s="24"/>
      <c r="D439" s="24"/>
      <c r="E439" s="24"/>
      <c r="F439" s="24"/>
      <c r="G439" s="24"/>
      <c r="H439" s="24"/>
      <c r="I439" s="24"/>
      <c r="J439" s="24"/>
      <c r="K439" s="24"/>
      <c r="L439" s="24"/>
      <c r="M439" s="90"/>
    </row>
    <row r="440">
      <c r="A440" s="24"/>
      <c r="B440" s="24"/>
      <c r="C440" s="24"/>
      <c r="D440" s="24"/>
      <c r="E440" s="24"/>
      <c r="F440" s="24"/>
      <c r="G440" s="24"/>
      <c r="H440" s="24"/>
      <c r="I440" s="24"/>
      <c r="J440" s="24"/>
      <c r="K440" s="24"/>
      <c r="L440" s="24"/>
      <c r="M440" s="90"/>
    </row>
    <row r="441">
      <c r="A441" s="24"/>
      <c r="B441" s="24"/>
      <c r="C441" s="24"/>
      <c r="D441" s="24"/>
      <c r="E441" s="24"/>
      <c r="F441" s="24"/>
      <c r="G441" s="24"/>
      <c r="H441" s="24"/>
      <c r="I441" s="24"/>
      <c r="J441" s="24"/>
      <c r="K441" s="24"/>
      <c r="L441" s="24"/>
      <c r="M441" s="90"/>
    </row>
    <row r="442">
      <c r="A442" s="24"/>
      <c r="B442" s="24"/>
      <c r="C442" s="24"/>
      <c r="D442" s="24"/>
      <c r="E442" s="24"/>
      <c r="F442" s="24"/>
      <c r="G442" s="24"/>
      <c r="H442" s="24"/>
      <c r="I442" s="24"/>
      <c r="J442" s="24"/>
      <c r="K442" s="24"/>
      <c r="L442" s="24"/>
      <c r="M442" s="90"/>
    </row>
    <row r="443">
      <c r="A443" s="24"/>
      <c r="B443" s="24"/>
      <c r="C443" s="24"/>
      <c r="D443" s="24"/>
      <c r="E443" s="24"/>
      <c r="F443" s="24"/>
      <c r="G443" s="24"/>
      <c r="H443" s="24"/>
      <c r="I443" s="24"/>
      <c r="J443" s="24"/>
      <c r="K443" s="24"/>
      <c r="L443" s="24"/>
      <c r="M443" s="90"/>
    </row>
    <row r="444">
      <c r="A444" s="24"/>
      <c r="B444" s="24"/>
      <c r="C444" s="24"/>
      <c r="D444" s="24"/>
      <c r="E444" s="24"/>
      <c r="F444" s="24"/>
      <c r="G444" s="24"/>
      <c r="H444" s="24"/>
      <c r="I444" s="24"/>
      <c r="J444" s="24"/>
      <c r="K444" s="24"/>
      <c r="L444" s="24"/>
      <c r="M444" s="90"/>
    </row>
    <row r="445">
      <c r="A445" s="24"/>
      <c r="B445" s="24"/>
      <c r="C445" s="24"/>
      <c r="D445" s="24"/>
      <c r="E445" s="24"/>
      <c r="F445" s="24"/>
      <c r="G445" s="24"/>
      <c r="H445" s="24"/>
      <c r="I445" s="24"/>
      <c r="J445" s="24"/>
      <c r="K445" s="24"/>
      <c r="L445" s="24"/>
      <c r="M445" s="90"/>
    </row>
    <row r="446">
      <c r="A446" s="24"/>
      <c r="B446" s="24"/>
      <c r="C446" s="24"/>
      <c r="D446" s="24"/>
      <c r="E446" s="24"/>
      <c r="F446" s="24"/>
      <c r="G446" s="24"/>
      <c r="H446" s="24"/>
      <c r="I446" s="24"/>
      <c r="J446" s="24"/>
      <c r="K446" s="24"/>
      <c r="L446" s="24"/>
      <c r="M446" s="90"/>
    </row>
    <row r="447">
      <c r="A447" s="24"/>
      <c r="B447" s="24"/>
      <c r="C447" s="24"/>
      <c r="D447" s="24"/>
      <c r="E447" s="24"/>
      <c r="F447" s="24"/>
      <c r="G447" s="24"/>
      <c r="H447" s="24"/>
      <c r="I447" s="24"/>
      <c r="J447" s="24"/>
      <c r="K447" s="24"/>
      <c r="L447" s="24"/>
      <c r="M447" s="90"/>
    </row>
    <row r="448">
      <c r="A448" s="24"/>
      <c r="B448" s="24"/>
      <c r="C448" s="24"/>
      <c r="D448" s="24"/>
      <c r="E448" s="24"/>
      <c r="F448" s="24"/>
      <c r="G448" s="24"/>
      <c r="H448" s="24"/>
      <c r="I448" s="24"/>
      <c r="J448" s="24"/>
      <c r="K448" s="24"/>
      <c r="L448" s="24"/>
      <c r="M448" s="90"/>
    </row>
    <row r="449">
      <c r="A449" s="24"/>
      <c r="B449" s="24"/>
      <c r="C449" s="24"/>
      <c r="D449" s="24"/>
      <c r="E449" s="24"/>
      <c r="F449" s="24"/>
      <c r="G449" s="24"/>
      <c r="H449" s="24"/>
      <c r="I449" s="24"/>
      <c r="J449" s="24"/>
      <c r="K449" s="24"/>
      <c r="L449" s="24"/>
      <c r="M449" s="90"/>
    </row>
    <row r="450">
      <c r="A450" s="24"/>
      <c r="B450" s="24"/>
      <c r="C450" s="24"/>
      <c r="D450" s="24"/>
      <c r="E450" s="24"/>
      <c r="F450" s="24"/>
      <c r="G450" s="24"/>
      <c r="H450" s="24"/>
      <c r="I450" s="24"/>
      <c r="J450" s="24"/>
      <c r="K450" s="24"/>
      <c r="L450" s="24"/>
      <c r="M450" s="90"/>
    </row>
    <row r="451">
      <c r="A451" s="24"/>
      <c r="B451" s="24"/>
      <c r="C451" s="24"/>
      <c r="D451" s="24"/>
      <c r="E451" s="24"/>
      <c r="F451" s="24"/>
      <c r="G451" s="24"/>
      <c r="H451" s="24"/>
      <c r="I451" s="24"/>
      <c r="J451" s="24"/>
      <c r="K451" s="24"/>
      <c r="L451" s="24"/>
      <c r="M451" s="90"/>
    </row>
    <row r="452">
      <c r="A452" s="24"/>
      <c r="B452" s="24"/>
      <c r="C452" s="24"/>
      <c r="D452" s="24"/>
      <c r="E452" s="24"/>
      <c r="F452" s="24"/>
      <c r="G452" s="24"/>
      <c r="H452" s="24"/>
      <c r="I452" s="24"/>
      <c r="J452" s="24"/>
      <c r="K452" s="24"/>
      <c r="L452" s="24"/>
      <c r="M452" s="90"/>
    </row>
    <row r="453">
      <c r="A453" s="24"/>
      <c r="B453" s="24"/>
      <c r="C453" s="24"/>
      <c r="D453" s="24"/>
      <c r="E453" s="24"/>
      <c r="F453" s="24"/>
      <c r="G453" s="24"/>
      <c r="H453" s="24"/>
      <c r="I453" s="24"/>
      <c r="J453" s="24"/>
      <c r="K453" s="24"/>
      <c r="L453" s="24"/>
      <c r="M453" s="90"/>
    </row>
    <row r="454">
      <c r="A454" s="24"/>
      <c r="B454" s="24"/>
      <c r="C454" s="24"/>
      <c r="D454" s="24"/>
      <c r="E454" s="24"/>
      <c r="F454" s="24"/>
      <c r="G454" s="24"/>
      <c r="H454" s="24"/>
      <c r="I454" s="24"/>
      <c r="J454" s="24"/>
      <c r="K454" s="24"/>
      <c r="L454" s="24"/>
      <c r="M454" s="90"/>
    </row>
    <row r="455">
      <c r="A455" s="24"/>
      <c r="B455" s="24"/>
      <c r="C455" s="24"/>
      <c r="D455" s="24"/>
      <c r="E455" s="24"/>
      <c r="F455" s="24"/>
      <c r="G455" s="24"/>
      <c r="H455" s="24"/>
      <c r="I455" s="24"/>
      <c r="J455" s="24"/>
      <c r="K455" s="24"/>
      <c r="L455" s="24"/>
      <c r="M455" s="90"/>
    </row>
    <row r="456">
      <c r="A456" s="24"/>
      <c r="B456" s="24"/>
      <c r="C456" s="24"/>
      <c r="D456" s="24"/>
      <c r="E456" s="24"/>
      <c r="F456" s="24"/>
      <c r="G456" s="24"/>
      <c r="H456" s="24"/>
      <c r="I456" s="24"/>
      <c r="J456" s="24"/>
      <c r="K456" s="24"/>
      <c r="L456" s="24"/>
      <c r="M456" s="90"/>
    </row>
    <row r="457">
      <c r="A457" s="24"/>
      <c r="B457" s="24"/>
      <c r="C457" s="24"/>
      <c r="D457" s="24"/>
      <c r="E457" s="24"/>
      <c r="F457" s="24"/>
      <c r="G457" s="24"/>
      <c r="H457" s="24"/>
      <c r="I457" s="24"/>
      <c r="J457" s="24"/>
      <c r="K457" s="24"/>
      <c r="L457" s="24"/>
      <c r="M457" s="90"/>
    </row>
    <row r="458">
      <c r="A458" s="24"/>
      <c r="B458" s="24"/>
      <c r="C458" s="24"/>
      <c r="D458" s="24"/>
      <c r="E458" s="24"/>
      <c r="F458" s="24"/>
      <c r="G458" s="24"/>
      <c r="H458" s="24"/>
      <c r="I458" s="24"/>
      <c r="J458" s="24"/>
      <c r="K458" s="24"/>
      <c r="L458" s="24"/>
      <c r="M458" s="90"/>
    </row>
    <row r="459">
      <c r="A459" s="24"/>
      <c r="B459" s="24"/>
      <c r="C459" s="24"/>
      <c r="D459" s="24"/>
      <c r="E459" s="24"/>
      <c r="F459" s="24"/>
      <c r="G459" s="24"/>
      <c r="H459" s="24"/>
      <c r="I459" s="24"/>
      <c r="J459" s="24"/>
      <c r="K459" s="24"/>
      <c r="L459" s="24"/>
      <c r="M459" s="90"/>
    </row>
    <row r="460">
      <c r="A460" s="24"/>
      <c r="B460" s="24"/>
      <c r="C460" s="24"/>
      <c r="D460" s="24"/>
      <c r="E460" s="24"/>
      <c r="F460" s="24"/>
      <c r="G460" s="24"/>
      <c r="H460" s="24"/>
      <c r="I460" s="24"/>
      <c r="J460" s="24"/>
      <c r="K460" s="24"/>
      <c r="L460" s="24"/>
      <c r="M460" s="90"/>
    </row>
    <row r="461">
      <c r="A461" s="24"/>
      <c r="B461" s="24"/>
      <c r="C461" s="24"/>
      <c r="D461" s="24"/>
      <c r="E461" s="24"/>
      <c r="F461" s="24"/>
      <c r="G461" s="24"/>
      <c r="H461" s="24"/>
      <c r="I461" s="24"/>
      <c r="J461" s="24"/>
      <c r="K461" s="24"/>
      <c r="L461" s="24"/>
      <c r="M461" s="90"/>
    </row>
    <row r="462">
      <c r="A462" s="24"/>
      <c r="B462" s="24"/>
      <c r="C462" s="24"/>
      <c r="D462" s="24"/>
      <c r="E462" s="24"/>
      <c r="F462" s="24"/>
      <c r="G462" s="24"/>
      <c r="H462" s="24"/>
      <c r="I462" s="24"/>
      <c r="J462" s="24"/>
      <c r="K462" s="24"/>
      <c r="L462" s="24"/>
      <c r="M462" s="90"/>
    </row>
    <row r="463">
      <c r="A463" s="24"/>
      <c r="B463" s="24"/>
      <c r="C463" s="24"/>
      <c r="D463" s="24"/>
      <c r="E463" s="24"/>
      <c r="F463" s="24"/>
      <c r="G463" s="24"/>
      <c r="H463" s="24"/>
      <c r="I463" s="24"/>
      <c r="J463" s="24"/>
      <c r="K463" s="24"/>
      <c r="L463" s="24"/>
      <c r="M463" s="90"/>
    </row>
    <row r="464">
      <c r="A464" s="24"/>
      <c r="B464" s="24"/>
      <c r="C464" s="24"/>
      <c r="D464" s="24"/>
      <c r="E464" s="24"/>
      <c r="F464" s="24"/>
      <c r="G464" s="24"/>
      <c r="H464" s="24"/>
      <c r="I464" s="24"/>
      <c r="J464" s="24"/>
      <c r="K464" s="24"/>
      <c r="L464" s="24"/>
      <c r="M464" s="90"/>
    </row>
    <row r="465">
      <c r="A465" s="24"/>
      <c r="B465" s="24"/>
      <c r="C465" s="24"/>
      <c r="D465" s="24"/>
      <c r="E465" s="24"/>
      <c r="F465" s="24"/>
      <c r="G465" s="24"/>
      <c r="H465" s="24"/>
      <c r="I465" s="24"/>
      <c r="J465" s="24"/>
      <c r="K465" s="24"/>
      <c r="L465" s="24"/>
      <c r="M465" s="90"/>
    </row>
    <row r="466">
      <c r="A466" s="24"/>
      <c r="B466" s="24"/>
      <c r="C466" s="24"/>
      <c r="D466" s="24"/>
      <c r="E466" s="24"/>
      <c r="F466" s="24"/>
      <c r="G466" s="24"/>
      <c r="H466" s="24"/>
      <c r="I466" s="24"/>
      <c r="J466" s="24"/>
      <c r="K466" s="24"/>
      <c r="L466" s="24"/>
      <c r="M466" s="90"/>
    </row>
    <row r="467">
      <c r="A467" s="24"/>
      <c r="B467" s="24"/>
      <c r="C467" s="24"/>
      <c r="D467" s="24"/>
      <c r="E467" s="24"/>
      <c r="F467" s="24"/>
      <c r="G467" s="24"/>
      <c r="H467" s="24"/>
      <c r="I467" s="24"/>
      <c r="J467" s="24"/>
      <c r="K467" s="24"/>
      <c r="L467" s="24"/>
      <c r="M467" s="90"/>
    </row>
    <row r="468">
      <c r="A468" s="24"/>
      <c r="B468" s="24"/>
      <c r="C468" s="24"/>
      <c r="D468" s="24"/>
      <c r="E468" s="24"/>
      <c r="F468" s="24"/>
      <c r="G468" s="24"/>
      <c r="H468" s="24"/>
      <c r="I468" s="24"/>
      <c r="J468" s="24"/>
      <c r="K468" s="24"/>
      <c r="L468" s="24"/>
      <c r="M468" s="90"/>
    </row>
    <row r="469">
      <c r="A469" s="24"/>
      <c r="B469" s="24"/>
      <c r="C469" s="24"/>
      <c r="D469" s="24"/>
      <c r="E469" s="24"/>
      <c r="F469" s="24"/>
      <c r="G469" s="24"/>
      <c r="H469" s="24"/>
      <c r="I469" s="24"/>
      <c r="J469" s="24"/>
      <c r="K469" s="24"/>
      <c r="L469" s="24"/>
      <c r="M469" s="90"/>
    </row>
    <row r="470">
      <c r="A470" s="24"/>
      <c r="B470" s="24"/>
      <c r="C470" s="24"/>
      <c r="D470" s="24"/>
      <c r="E470" s="24"/>
      <c r="F470" s="24"/>
      <c r="G470" s="24"/>
      <c r="H470" s="24"/>
      <c r="I470" s="24"/>
      <c r="J470" s="24"/>
      <c r="K470" s="24"/>
      <c r="L470" s="24"/>
      <c r="M470" s="90"/>
    </row>
    <row r="471">
      <c r="A471" s="24"/>
      <c r="B471" s="24"/>
      <c r="C471" s="24"/>
      <c r="D471" s="24"/>
      <c r="E471" s="24"/>
      <c r="F471" s="24"/>
      <c r="G471" s="24"/>
      <c r="H471" s="24"/>
      <c r="I471" s="24"/>
      <c r="J471" s="24"/>
      <c r="K471" s="24"/>
      <c r="L471" s="24"/>
      <c r="M471" s="90"/>
    </row>
    <row r="472">
      <c r="A472" s="24"/>
      <c r="B472" s="24"/>
      <c r="C472" s="24"/>
      <c r="D472" s="24"/>
      <c r="E472" s="24"/>
      <c r="F472" s="24"/>
      <c r="G472" s="24"/>
      <c r="H472" s="24"/>
      <c r="I472" s="24"/>
      <c r="J472" s="24"/>
      <c r="K472" s="24"/>
      <c r="L472" s="24"/>
      <c r="M472" s="90"/>
    </row>
    <row r="473">
      <c r="A473" s="24"/>
      <c r="B473" s="24"/>
      <c r="C473" s="24"/>
      <c r="D473" s="24"/>
      <c r="E473" s="24"/>
      <c r="F473" s="24"/>
      <c r="G473" s="24"/>
      <c r="H473" s="24"/>
      <c r="I473" s="24"/>
      <c r="J473" s="24"/>
      <c r="K473" s="24"/>
      <c r="L473" s="24"/>
      <c r="M473" s="90"/>
    </row>
    <row r="474">
      <c r="A474" s="24"/>
      <c r="B474" s="24"/>
      <c r="C474" s="24"/>
      <c r="D474" s="24"/>
      <c r="E474" s="24"/>
      <c r="F474" s="24"/>
      <c r="G474" s="24"/>
      <c r="H474" s="24"/>
      <c r="I474" s="24"/>
      <c r="J474" s="24"/>
      <c r="K474" s="24"/>
      <c r="L474" s="24"/>
      <c r="M474" s="90"/>
    </row>
    <row r="475">
      <c r="A475" s="24"/>
      <c r="B475" s="24"/>
      <c r="C475" s="24"/>
      <c r="D475" s="24"/>
      <c r="E475" s="24"/>
      <c r="F475" s="24"/>
      <c r="G475" s="24"/>
      <c r="H475" s="24"/>
      <c r="I475" s="24"/>
      <c r="J475" s="24"/>
      <c r="K475" s="24"/>
      <c r="L475" s="24"/>
      <c r="M475" s="90"/>
    </row>
    <row r="476">
      <c r="A476" s="24"/>
      <c r="B476" s="24"/>
      <c r="C476" s="24"/>
      <c r="D476" s="24"/>
      <c r="E476" s="24"/>
      <c r="F476" s="24"/>
      <c r="G476" s="24"/>
      <c r="H476" s="24"/>
      <c r="I476" s="24"/>
      <c r="J476" s="24"/>
      <c r="K476" s="24"/>
      <c r="L476" s="24"/>
      <c r="M476" s="90"/>
    </row>
    <row r="477">
      <c r="A477" s="24"/>
      <c r="B477" s="24"/>
      <c r="C477" s="24"/>
      <c r="D477" s="24"/>
      <c r="E477" s="24"/>
      <c r="F477" s="24"/>
      <c r="G477" s="24"/>
      <c r="H477" s="24"/>
      <c r="I477" s="24"/>
      <c r="J477" s="24"/>
      <c r="K477" s="24"/>
      <c r="L477" s="24"/>
      <c r="M477" s="90"/>
    </row>
    <row r="478">
      <c r="A478" s="24"/>
      <c r="B478" s="24"/>
      <c r="C478" s="24"/>
      <c r="D478" s="24"/>
      <c r="E478" s="24"/>
      <c r="F478" s="24"/>
      <c r="G478" s="24"/>
      <c r="H478" s="24"/>
      <c r="I478" s="24"/>
      <c r="J478" s="24"/>
      <c r="K478" s="24"/>
      <c r="L478" s="24"/>
      <c r="M478" s="90"/>
    </row>
    <row r="479">
      <c r="A479" s="24"/>
      <c r="B479" s="24"/>
      <c r="C479" s="24"/>
      <c r="D479" s="24"/>
      <c r="E479" s="24"/>
      <c r="F479" s="24"/>
      <c r="G479" s="24"/>
      <c r="H479" s="24"/>
      <c r="I479" s="24"/>
      <c r="J479" s="24"/>
      <c r="K479" s="24"/>
      <c r="L479" s="24"/>
      <c r="M479" s="90"/>
    </row>
    <row r="480">
      <c r="A480" s="24"/>
      <c r="B480" s="24"/>
      <c r="C480" s="24"/>
      <c r="D480" s="24"/>
      <c r="E480" s="24"/>
      <c r="F480" s="24"/>
      <c r="G480" s="24"/>
      <c r="H480" s="24"/>
      <c r="I480" s="24"/>
      <c r="J480" s="24"/>
      <c r="K480" s="24"/>
      <c r="L480" s="24"/>
      <c r="M480" s="90"/>
    </row>
    <row r="481">
      <c r="A481" s="24"/>
      <c r="B481" s="24"/>
      <c r="C481" s="24"/>
      <c r="D481" s="24"/>
      <c r="E481" s="24"/>
      <c r="F481" s="24"/>
      <c r="G481" s="24"/>
      <c r="H481" s="24"/>
      <c r="I481" s="24"/>
      <c r="J481" s="24"/>
      <c r="K481" s="24"/>
      <c r="L481" s="24"/>
      <c r="M481" s="90"/>
    </row>
    <row r="482">
      <c r="A482" s="24"/>
      <c r="B482" s="24"/>
      <c r="C482" s="24"/>
      <c r="D482" s="24"/>
      <c r="E482" s="24"/>
      <c r="F482" s="24"/>
      <c r="G482" s="24"/>
      <c r="H482" s="24"/>
      <c r="I482" s="24"/>
      <c r="J482" s="24"/>
      <c r="K482" s="24"/>
      <c r="L482" s="24"/>
      <c r="M482" s="90"/>
    </row>
    <row r="483">
      <c r="A483" s="24"/>
      <c r="B483" s="24"/>
      <c r="C483" s="24"/>
      <c r="D483" s="24"/>
      <c r="E483" s="24"/>
      <c r="F483" s="24"/>
      <c r="G483" s="24"/>
      <c r="H483" s="24"/>
      <c r="I483" s="24"/>
      <c r="J483" s="24"/>
      <c r="K483" s="24"/>
      <c r="L483" s="24"/>
      <c r="M483" s="90"/>
    </row>
    <row r="484">
      <c r="A484" s="24"/>
      <c r="B484" s="24"/>
      <c r="C484" s="24"/>
      <c r="D484" s="24"/>
      <c r="E484" s="24"/>
      <c r="F484" s="24"/>
      <c r="G484" s="24"/>
      <c r="H484" s="24"/>
      <c r="I484" s="24"/>
      <c r="J484" s="24"/>
      <c r="K484" s="24"/>
      <c r="L484" s="24"/>
      <c r="M484" s="90"/>
    </row>
    <row r="485">
      <c r="A485" s="24"/>
      <c r="B485" s="24"/>
      <c r="C485" s="24"/>
      <c r="D485" s="24"/>
      <c r="E485" s="24"/>
      <c r="F485" s="24"/>
      <c r="G485" s="24"/>
      <c r="H485" s="24"/>
      <c r="I485" s="24"/>
      <c r="J485" s="24"/>
      <c r="K485" s="24"/>
      <c r="L485" s="24"/>
      <c r="M485" s="90"/>
    </row>
    <row r="486">
      <c r="A486" s="24"/>
      <c r="B486" s="24"/>
      <c r="C486" s="24"/>
      <c r="D486" s="24"/>
      <c r="E486" s="24"/>
      <c r="F486" s="24"/>
      <c r="G486" s="24"/>
      <c r="H486" s="24"/>
      <c r="I486" s="24"/>
      <c r="J486" s="24"/>
      <c r="K486" s="24"/>
      <c r="L486" s="24"/>
      <c r="M486" s="90"/>
    </row>
    <row r="487">
      <c r="A487" s="24"/>
      <c r="B487" s="24"/>
      <c r="C487" s="24"/>
      <c r="D487" s="24"/>
      <c r="E487" s="24"/>
      <c r="F487" s="24"/>
      <c r="G487" s="24"/>
      <c r="H487" s="24"/>
      <c r="I487" s="24"/>
      <c r="J487" s="24"/>
      <c r="K487" s="24"/>
      <c r="L487" s="24"/>
      <c r="M487" s="90"/>
    </row>
    <row r="488">
      <c r="A488" s="24"/>
      <c r="B488" s="24"/>
      <c r="C488" s="24"/>
      <c r="D488" s="24"/>
      <c r="E488" s="24"/>
      <c r="F488" s="24"/>
      <c r="G488" s="24"/>
      <c r="H488" s="24"/>
      <c r="I488" s="24"/>
      <c r="J488" s="24"/>
      <c r="K488" s="24"/>
      <c r="L488" s="24"/>
      <c r="M488" s="90"/>
    </row>
    <row r="489">
      <c r="A489" s="24"/>
      <c r="B489" s="24"/>
      <c r="C489" s="24"/>
      <c r="D489" s="24"/>
      <c r="E489" s="24"/>
      <c r="F489" s="24"/>
      <c r="G489" s="24"/>
      <c r="H489" s="24"/>
      <c r="I489" s="24"/>
      <c r="J489" s="24"/>
      <c r="K489" s="24"/>
      <c r="L489" s="24"/>
      <c r="M489" s="90"/>
    </row>
    <row r="490">
      <c r="A490" s="24"/>
      <c r="B490" s="24"/>
      <c r="C490" s="24"/>
      <c r="D490" s="24"/>
      <c r="E490" s="24"/>
      <c r="F490" s="24"/>
      <c r="G490" s="24"/>
      <c r="H490" s="24"/>
      <c r="I490" s="24"/>
      <c r="J490" s="24"/>
      <c r="K490" s="24"/>
      <c r="L490" s="24"/>
      <c r="M490" s="90"/>
    </row>
    <row r="491">
      <c r="A491" s="24"/>
      <c r="B491" s="24"/>
      <c r="C491" s="24"/>
      <c r="D491" s="24"/>
      <c r="E491" s="24"/>
      <c r="F491" s="24"/>
      <c r="G491" s="24"/>
      <c r="H491" s="24"/>
      <c r="I491" s="24"/>
      <c r="J491" s="24"/>
      <c r="K491" s="24"/>
      <c r="L491" s="24"/>
      <c r="M491" s="90"/>
    </row>
    <row r="492">
      <c r="A492" s="24"/>
      <c r="B492" s="24"/>
      <c r="C492" s="24"/>
      <c r="D492" s="24"/>
      <c r="E492" s="24"/>
      <c r="F492" s="24"/>
      <c r="G492" s="24"/>
      <c r="H492" s="24"/>
      <c r="I492" s="24"/>
      <c r="J492" s="24"/>
      <c r="K492" s="24"/>
      <c r="L492" s="24"/>
      <c r="M492" s="90"/>
    </row>
    <row r="493">
      <c r="A493" s="24"/>
      <c r="B493" s="24"/>
      <c r="C493" s="24"/>
      <c r="D493" s="24"/>
      <c r="E493" s="24"/>
      <c r="F493" s="24"/>
      <c r="G493" s="24"/>
      <c r="H493" s="24"/>
      <c r="I493" s="24"/>
      <c r="J493" s="24"/>
      <c r="K493" s="24"/>
      <c r="L493" s="24"/>
      <c r="M493" s="90"/>
    </row>
    <row r="494">
      <c r="A494" s="24"/>
      <c r="B494" s="24"/>
      <c r="C494" s="24"/>
      <c r="D494" s="24"/>
      <c r="E494" s="24"/>
      <c r="F494" s="24"/>
      <c r="G494" s="24"/>
      <c r="H494" s="24"/>
      <c r="I494" s="24"/>
      <c r="J494" s="24"/>
      <c r="K494" s="24"/>
      <c r="L494" s="24"/>
      <c r="M494" s="90"/>
    </row>
    <row r="495">
      <c r="A495" s="24"/>
      <c r="B495" s="24"/>
      <c r="C495" s="24"/>
      <c r="D495" s="24"/>
      <c r="E495" s="24"/>
      <c r="F495" s="24"/>
      <c r="G495" s="24"/>
      <c r="H495" s="24"/>
      <c r="I495" s="24"/>
      <c r="J495" s="24"/>
      <c r="K495" s="24"/>
      <c r="L495" s="24"/>
      <c r="M495" s="90"/>
    </row>
    <row r="496">
      <c r="A496" s="24"/>
      <c r="B496" s="24"/>
      <c r="C496" s="24"/>
      <c r="D496" s="24"/>
      <c r="E496" s="24"/>
      <c r="F496" s="24"/>
      <c r="G496" s="24"/>
      <c r="H496" s="24"/>
      <c r="I496" s="24"/>
      <c r="J496" s="24"/>
      <c r="K496" s="24"/>
      <c r="L496" s="24"/>
      <c r="M496" s="90"/>
    </row>
    <row r="497">
      <c r="A497" s="24"/>
      <c r="B497" s="24"/>
      <c r="C497" s="24"/>
      <c r="D497" s="24"/>
      <c r="E497" s="24"/>
      <c r="F497" s="24"/>
      <c r="G497" s="24"/>
      <c r="H497" s="24"/>
      <c r="I497" s="24"/>
      <c r="J497" s="24"/>
      <c r="K497" s="24"/>
      <c r="L497" s="24"/>
      <c r="M497" s="90"/>
    </row>
    <row r="498">
      <c r="A498" s="24"/>
      <c r="B498" s="24"/>
      <c r="C498" s="24"/>
      <c r="D498" s="24"/>
      <c r="E498" s="24"/>
      <c r="F498" s="24"/>
      <c r="G498" s="24"/>
      <c r="H498" s="24"/>
      <c r="I498" s="24"/>
      <c r="J498" s="24"/>
      <c r="K498" s="24"/>
      <c r="L498" s="24"/>
      <c r="M498" s="90"/>
    </row>
    <row r="499">
      <c r="A499" s="24"/>
      <c r="B499" s="24"/>
      <c r="C499" s="24"/>
      <c r="D499" s="24"/>
      <c r="E499" s="24"/>
      <c r="F499" s="24"/>
      <c r="G499" s="24"/>
      <c r="H499" s="24"/>
      <c r="I499" s="24"/>
      <c r="J499" s="24"/>
      <c r="K499" s="24"/>
      <c r="L499" s="24"/>
      <c r="M499" s="90"/>
    </row>
    <row r="500">
      <c r="A500" s="24"/>
      <c r="B500" s="24"/>
      <c r="C500" s="24"/>
      <c r="D500" s="24"/>
      <c r="E500" s="24"/>
      <c r="F500" s="24"/>
      <c r="G500" s="24"/>
      <c r="H500" s="24"/>
      <c r="I500" s="24"/>
      <c r="J500" s="24"/>
      <c r="K500" s="24"/>
      <c r="L500" s="24"/>
      <c r="M500" s="90"/>
    </row>
    <row r="501">
      <c r="A501" s="24"/>
      <c r="B501" s="24"/>
      <c r="C501" s="24"/>
      <c r="D501" s="24"/>
      <c r="E501" s="24"/>
      <c r="F501" s="24"/>
      <c r="G501" s="24"/>
      <c r="H501" s="24"/>
      <c r="I501" s="24"/>
      <c r="J501" s="24"/>
      <c r="K501" s="24"/>
      <c r="L501" s="24"/>
      <c r="M501" s="90"/>
    </row>
    <row r="502">
      <c r="A502" s="24"/>
      <c r="B502" s="24"/>
      <c r="C502" s="24"/>
      <c r="D502" s="24"/>
      <c r="E502" s="24"/>
      <c r="F502" s="24"/>
      <c r="G502" s="24"/>
      <c r="H502" s="24"/>
      <c r="I502" s="24"/>
      <c r="J502" s="24"/>
      <c r="K502" s="24"/>
      <c r="L502" s="24"/>
      <c r="M502" s="90"/>
    </row>
    <row r="503">
      <c r="A503" s="24"/>
      <c r="B503" s="24"/>
      <c r="C503" s="24"/>
      <c r="D503" s="24"/>
      <c r="E503" s="24"/>
      <c r="F503" s="24"/>
      <c r="G503" s="24"/>
      <c r="H503" s="24"/>
      <c r="I503" s="24"/>
      <c r="J503" s="24"/>
      <c r="K503" s="24"/>
      <c r="L503" s="24"/>
      <c r="M503" s="90"/>
    </row>
    <row r="504">
      <c r="A504" s="24"/>
      <c r="B504" s="24"/>
      <c r="C504" s="24"/>
      <c r="D504" s="24"/>
      <c r="E504" s="24"/>
      <c r="F504" s="24"/>
      <c r="G504" s="24"/>
      <c r="H504" s="24"/>
      <c r="I504" s="24"/>
      <c r="J504" s="24"/>
      <c r="K504" s="24"/>
      <c r="L504" s="24"/>
      <c r="M504" s="90"/>
    </row>
    <row r="505">
      <c r="A505" s="24"/>
      <c r="B505" s="24"/>
      <c r="C505" s="24"/>
      <c r="D505" s="24"/>
      <c r="E505" s="24"/>
      <c r="F505" s="24"/>
      <c r="G505" s="24"/>
      <c r="H505" s="24"/>
      <c r="I505" s="24"/>
      <c r="J505" s="24"/>
      <c r="K505" s="24"/>
      <c r="L505" s="24"/>
      <c r="M505" s="90"/>
    </row>
    <row r="506">
      <c r="A506" s="24"/>
      <c r="B506" s="24"/>
      <c r="C506" s="24"/>
      <c r="D506" s="24"/>
      <c r="E506" s="24"/>
      <c r="F506" s="24"/>
      <c r="G506" s="24"/>
      <c r="H506" s="24"/>
      <c r="I506" s="24"/>
      <c r="J506" s="24"/>
      <c r="K506" s="24"/>
      <c r="L506" s="24"/>
      <c r="M506" s="90"/>
    </row>
    <row r="507">
      <c r="A507" s="24"/>
      <c r="B507" s="24"/>
      <c r="C507" s="24"/>
      <c r="D507" s="24"/>
      <c r="E507" s="24"/>
      <c r="F507" s="24"/>
      <c r="G507" s="24"/>
      <c r="H507" s="24"/>
      <c r="I507" s="24"/>
      <c r="J507" s="24"/>
      <c r="K507" s="24"/>
      <c r="L507" s="24"/>
      <c r="M507" s="90"/>
    </row>
    <row r="508">
      <c r="A508" s="24"/>
      <c r="B508" s="24"/>
      <c r="C508" s="24"/>
      <c r="D508" s="24"/>
      <c r="E508" s="24"/>
      <c r="F508" s="24"/>
      <c r="G508" s="24"/>
      <c r="H508" s="24"/>
      <c r="I508" s="24"/>
      <c r="J508" s="24"/>
      <c r="K508" s="24"/>
      <c r="L508" s="24"/>
      <c r="M508" s="90"/>
    </row>
    <row r="509">
      <c r="A509" s="24"/>
      <c r="B509" s="24"/>
      <c r="C509" s="24"/>
      <c r="D509" s="24"/>
      <c r="E509" s="24"/>
      <c r="F509" s="24"/>
      <c r="G509" s="24"/>
      <c r="H509" s="24"/>
      <c r="I509" s="24"/>
      <c r="J509" s="24"/>
      <c r="K509" s="24"/>
      <c r="L509" s="24"/>
      <c r="M509" s="90"/>
    </row>
    <row r="510">
      <c r="A510" s="24"/>
      <c r="B510" s="24"/>
      <c r="C510" s="24"/>
      <c r="D510" s="24"/>
      <c r="E510" s="24"/>
      <c r="F510" s="24"/>
      <c r="G510" s="24"/>
      <c r="H510" s="24"/>
      <c r="I510" s="24"/>
      <c r="J510" s="24"/>
      <c r="K510" s="24"/>
      <c r="L510" s="24"/>
      <c r="M510" s="90"/>
    </row>
    <row r="511">
      <c r="A511" s="24"/>
      <c r="B511" s="24"/>
      <c r="C511" s="24"/>
      <c r="D511" s="24"/>
      <c r="E511" s="24"/>
      <c r="F511" s="24"/>
      <c r="G511" s="24"/>
      <c r="H511" s="24"/>
      <c r="I511" s="24"/>
      <c r="J511" s="24"/>
      <c r="K511" s="24"/>
      <c r="L511" s="24"/>
      <c r="M511" s="90"/>
    </row>
    <row r="512">
      <c r="A512" s="24"/>
      <c r="B512" s="24"/>
      <c r="C512" s="24"/>
      <c r="D512" s="24"/>
      <c r="E512" s="24"/>
      <c r="F512" s="24"/>
      <c r="G512" s="24"/>
      <c r="H512" s="24"/>
      <c r="I512" s="24"/>
      <c r="J512" s="24"/>
      <c r="K512" s="24"/>
      <c r="L512" s="24"/>
      <c r="M512" s="90"/>
    </row>
    <row r="513">
      <c r="A513" s="24"/>
      <c r="B513" s="24"/>
      <c r="C513" s="24"/>
      <c r="D513" s="24"/>
      <c r="E513" s="24"/>
      <c r="F513" s="24"/>
      <c r="G513" s="24"/>
      <c r="H513" s="24"/>
      <c r="I513" s="24"/>
      <c r="J513" s="24"/>
      <c r="K513" s="24"/>
      <c r="L513" s="24"/>
      <c r="M513" s="90"/>
    </row>
    <row r="514">
      <c r="A514" s="24"/>
      <c r="B514" s="24"/>
      <c r="C514" s="24"/>
      <c r="D514" s="24"/>
      <c r="E514" s="24"/>
      <c r="F514" s="24"/>
      <c r="G514" s="24"/>
      <c r="H514" s="24"/>
      <c r="I514" s="24"/>
      <c r="J514" s="24"/>
      <c r="K514" s="24"/>
      <c r="L514" s="24"/>
      <c r="M514" s="90"/>
    </row>
    <row r="515">
      <c r="A515" s="24"/>
      <c r="B515" s="24"/>
      <c r="C515" s="24"/>
      <c r="D515" s="24"/>
      <c r="E515" s="24"/>
      <c r="F515" s="24"/>
      <c r="G515" s="24"/>
      <c r="H515" s="24"/>
      <c r="I515" s="24"/>
      <c r="J515" s="24"/>
      <c r="K515" s="24"/>
      <c r="L515" s="24"/>
      <c r="M515" s="90"/>
    </row>
    <row r="516">
      <c r="A516" s="24"/>
      <c r="B516" s="24"/>
      <c r="C516" s="24"/>
      <c r="D516" s="24"/>
      <c r="E516" s="24"/>
      <c r="F516" s="24"/>
      <c r="G516" s="24"/>
      <c r="H516" s="24"/>
      <c r="I516" s="24"/>
      <c r="J516" s="24"/>
      <c r="K516" s="24"/>
      <c r="L516" s="24"/>
      <c r="M516" s="90"/>
    </row>
    <row r="517">
      <c r="A517" s="24"/>
      <c r="B517" s="24"/>
      <c r="C517" s="24"/>
      <c r="D517" s="24"/>
      <c r="E517" s="24"/>
      <c r="F517" s="24"/>
      <c r="G517" s="24"/>
      <c r="H517" s="24"/>
      <c r="I517" s="24"/>
      <c r="J517" s="24"/>
      <c r="K517" s="24"/>
      <c r="L517" s="24"/>
      <c r="M517" s="90"/>
    </row>
    <row r="518">
      <c r="A518" s="24"/>
      <c r="B518" s="24"/>
      <c r="C518" s="24"/>
      <c r="D518" s="24"/>
      <c r="E518" s="24"/>
      <c r="F518" s="24"/>
      <c r="G518" s="24"/>
      <c r="H518" s="24"/>
      <c r="I518" s="24"/>
      <c r="J518" s="24"/>
      <c r="K518" s="24"/>
      <c r="L518" s="24"/>
      <c r="M518" s="90"/>
    </row>
    <row r="519">
      <c r="A519" s="24"/>
      <c r="B519" s="24"/>
      <c r="C519" s="24"/>
      <c r="D519" s="24"/>
      <c r="E519" s="24"/>
      <c r="F519" s="24"/>
      <c r="G519" s="24"/>
      <c r="H519" s="24"/>
      <c r="I519" s="24"/>
      <c r="J519" s="24"/>
      <c r="K519" s="24"/>
      <c r="L519" s="24"/>
      <c r="M519" s="90"/>
    </row>
    <row r="520">
      <c r="A520" s="24"/>
      <c r="B520" s="24"/>
      <c r="C520" s="24"/>
      <c r="D520" s="24"/>
      <c r="E520" s="24"/>
      <c r="F520" s="24"/>
      <c r="G520" s="24"/>
      <c r="H520" s="24"/>
      <c r="I520" s="24"/>
      <c r="J520" s="24"/>
      <c r="K520" s="24"/>
      <c r="L520" s="24"/>
      <c r="M520" s="90"/>
    </row>
    <row r="521">
      <c r="A521" s="24"/>
      <c r="B521" s="24"/>
      <c r="C521" s="24"/>
      <c r="D521" s="24"/>
      <c r="E521" s="24"/>
      <c r="F521" s="24"/>
      <c r="G521" s="24"/>
      <c r="H521" s="24"/>
      <c r="I521" s="24"/>
      <c r="J521" s="24"/>
      <c r="K521" s="24"/>
      <c r="L521" s="24"/>
      <c r="M521" s="90"/>
    </row>
    <row r="522">
      <c r="A522" s="24"/>
      <c r="B522" s="24"/>
      <c r="C522" s="24"/>
      <c r="D522" s="24"/>
      <c r="E522" s="24"/>
      <c r="F522" s="24"/>
      <c r="G522" s="24"/>
      <c r="H522" s="24"/>
      <c r="I522" s="24"/>
      <c r="J522" s="24"/>
      <c r="K522" s="24"/>
      <c r="L522" s="24"/>
      <c r="M522" s="90"/>
    </row>
    <row r="523">
      <c r="A523" s="24"/>
      <c r="B523" s="24"/>
      <c r="C523" s="24"/>
      <c r="D523" s="24"/>
      <c r="E523" s="24"/>
      <c r="F523" s="24"/>
      <c r="G523" s="24"/>
      <c r="H523" s="24"/>
      <c r="I523" s="24"/>
      <c r="J523" s="24"/>
      <c r="K523" s="24"/>
      <c r="L523" s="24"/>
      <c r="M523" s="90"/>
    </row>
    <row r="524">
      <c r="A524" s="24"/>
      <c r="B524" s="24"/>
      <c r="C524" s="24"/>
      <c r="D524" s="24"/>
      <c r="E524" s="24"/>
      <c r="F524" s="24"/>
      <c r="G524" s="24"/>
      <c r="H524" s="24"/>
      <c r="I524" s="24"/>
      <c r="J524" s="24"/>
      <c r="K524" s="24"/>
      <c r="L524" s="24"/>
      <c r="M524" s="90"/>
    </row>
    <row r="525">
      <c r="A525" s="24"/>
      <c r="B525" s="24"/>
      <c r="C525" s="24"/>
      <c r="D525" s="24"/>
      <c r="E525" s="24"/>
      <c r="F525" s="24"/>
      <c r="G525" s="24"/>
      <c r="H525" s="24"/>
      <c r="I525" s="24"/>
      <c r="J525" s="24"/>
      <c r="K525" s="24"/>
      <c r="L525" s="24"/>
      <c r="M525" s="90"/>
    </row>
    <row r="526">
      <c r="A526" s="24"/>
      <c r="B526" s="24"/>
      <c r="C526" s="24"/>
      <c r="D526" s="24"/>
      <c r="E526" s="24"/>
      <c r="F526" s="24"/>
      <c r="G526" s="24"/>
      <c r="H526" s="24"/>
      <c r="I526" s="24"/>
      <c r="J526" s="24"/>
      <c r="K526" s="24"/>
      <c r="L526" s="24"/>
      <c r="M526" s="90"/>
    </row>
    <row r="527">
      <c r="A527" s="24"/>
      <c r="B527" s="24"/>
      <c r="C527" s="24"/>
      <c r="D527" s="24"/>
      <c r="E527" s="24"/>
      <c r="F527" s="24"/>
      <c r="G527" s="24"/>
      <c r="H527" s="24"/>
      <c r="I527" s="24"/>
      <c r="J527" s="24"/>
      <c r="K527" s="24"/>
      <c r="L527" s="24"/>
      <c r="M527" s="90"/>
    </row>
    <row r="528">
      <c r="A528" s="24"/>
      <c r="B528" s="24"/>
      <c r="C528" s="24"/>
      <c r="D528" s="24"/>
      <c r="E528" s="24"/>
      <c r="F528" s="24"/>
      <c r="G528" s="24"/>
      <c r="H528" s="24"/>
      <c r="I528" s="24"/>
      <c r="J528" s="24"/>
      <c r="K528" s="24"/>
      <c r="L528" s="24"/>
      <c r="M528" s="90"/>
    </row>
    <row r="529">
      <c r="A529" s="24"/>
      <c r="B529" s="24"/>
      <c r="C529" s="24"/>
      <c r="D529" s="24"/>
      <c r="E529" s="24"/>
      <c r="F529" s="24"/>
      <c r="G529" s="24"/>
      <c r="H529" s="24"/>
      <c r="I529" s="24"/>
      <c r="J529" s="24"/>
      <c r="K529" s="24"/>
      <c r="L529" s="24"/>
      <c r="M529" s="90"/>
    </row>
    <row r="530">
      <c r="A530" s="24"/>
      <c r="B530" s="24"/>
      <c r="C530" s="24"/>
      <c r="D530" s="24"/>
      <c r="E530" s="24"/>
      <c r="F530" s="24"/>
      <c r="G530" s="24"/>
      <c r="H530" s="24"/>
      <c r="I530" s="24"/>
      <c r="J530" s="24"/>
      <c r="K530" s="24"/>
      <c r="L530" s="24"/>
      <c r="M530" s="90"/>
    </row>
    <row r="531">
      <c r="A531" s="24"/>
      <c r="B531" s="24"/>
      <c r="C531" s="24"/>
      <c r="D531" s="24"/>
      <c r="E531" s="24"/>
      <c r="F531" s="24"/>
      <c r="G531" s="24"/>
      <c r="H531" s="24"/>
      <c r="I531" s="24"/>
      <c r="J531" s="24"/>
      <c r="K531" s="24"/>
      <c r="L531" s="24"/>
      <c r="M531" s="90"/>
    </row>
    <row r="532">
      <c r="A532" s="24"/>
      <c r="B532" s="24"/>
      <c r="C532" s="24"/>
      <c r="D532" s="24"/>
      <c r="E532" s="24"/>
      <c r="F532" s="24"/>
      <c r="G532" s="24"/>
      <c r="H532" s="24"/>
      <c r="I532" s="24"/>
      <c r="J532" s="24"/>
      <c r="K532" s="24"/>
      <c r="L532" s="24"/>
      <c r="M532" s="90"/>
    </row>
    <row r="533">
      <c r="A533" s="24"/>
      <c r="B533" s="24"/>
      <c r="C533" s="24"/>
      <c r="D533" s="24"/>
      <c r="E533" s="24"/>
      <c r="F533" s="24"/>
      <c r="G533" s="24"/>
      <c r="H533" s="24"/>
      <c r="I533" s="24"/>
      <c r="J533" s="24"/>
      <c r="K533" s="24"/>
      <c r="L533" s="24"/>
      <c r="M533" s="90"/>
    </row>
    <row r="534">
      <c r="A534" s="24"/>
      <c r="B534" s="24"/>
      <c r="C534" s="24"/>
      <c r="D534" s="24"/>
      <c r="E534" s="24"/>
      <c r="F534" s="24"/>
      <c r="G534" s="24"/>
      <c r="H534" s="24"/>
      <c r="I534" s="24"/>
      <c r="J534" s="24"/>
      <c r="K534" s="24"/>
      <c r="L534" s="24"/>
      <c r="M534" s="90"/>
    </row>
    <row r="535">
      <c r="A535" s="24"/>
      <c r="B535" s="24"/>
      <c r="C535" s="24"/>
      <c r="D535" s="24"/>
      <c r="E535" s="24"/>
      <c r="F535" s="24"/>
      <c r="G535" s="24"/>
      <c r="H535" s="24"/>
      <c r="I535" s="24"/>
      <c r="J535" s="24"/>
      <c r="K535" s="24"/>
      <c r="L535" s="24"/>
      <c r="M535" s="90"/>
    </row>
    <row r="536">
      <c r="A536" s="24"/>
      <c r="B536" s="24"/>
      <c r="C536" s="24"/>
      <c r="D536" s="24"/>
      <c r="E536" s="24"/>
      <c r="F536" s="24"/>
      <c r="G536" s="24"/>
      <c r="H536" s="24"/>
      <c r="I536" s="24"/>
      <c r="J536" s="24"/>
      <c r="K536" s="24"/>
      <c r="L536" s="24"/>
      <c r="M536" s="90"/>
    </row>
    <row r="537">
      <c r="A537" s="24"/>
      <c r="B537" s="24"/>
      <c r="C537" s="24"/>
      <c r="D537" s="24"/>
      <c r="E537" s="24"/>
      <c r="F537" s="24"/>
      <c r="G537" s="24"/>
      <c r="H537" s="24"/>
      <c r="I537" s="24"/>
      <c r="J537" s="24"/>
      <c r="K537" s="24"/>
      <c r="L537" s="24"/>
      <c r="M537" s="90"/>
    </row>
    <row r="538">
      <c r="A538" s="24"/>
      <c r="B538" s="24"/>
      <c r="C538" s="24"/>
      <c r="D538" s="24"/>
      <c r="E538" s="24"/>
      <c r="F538" s="24"/>
      <c r="G538" s="24"/>
      <c r="H538" s="24"/>
      <c r="I538" s="24"/>
      <c r="J538" s="24"/>
      <c r="K538" s="24"/>
      <c r="L538" s="24"/>
      <c r="M538" s="90"/>
    </row>
    <row r="539">
      <c r="A539" s="24"/>
      <c r="B539" s="24"/>
      <c r="C539" s="24"/>
      <c r="D539" s="24"/>
      <c r="E539" s="24"/>
      <c r="F539" s="24"/>
      <c r="G539" s="24"/>
      <c r="H539" s="24"/>
      <c r="I539" s="24"/>
      <c r="J539" s="24"/>
      <c r="K539" s="24"/>
      <c r="L539" s="24"/>
      <c r="M539" s="90"/>
    </row>
    <row r="540">
      <c r="A540" s="24"/>
      <c r="B540" s="24"/>
      <c r="C540" s="24"/>
      <c r="D540" s="24"/>
      <c r="E540" s="24"/>
      <c r="F540" s="24"/>
      <c r="G540" s="24"/>
      <c r="H540" s="24"/>
      <c r="I540" s="24"/>
      <c r="J540" s="24"/>
      <c r="K540" s="24"/>
      <c r="L540" s="24"/>
      <c r="M540" s="90"/>
    </row>
    <row r="541">
      <c r="A541" s="24"/>
      <c r="B541" s="24"/>
      <c r="C541" s="24"/>
      <c r="D541" s="24"/>
      <c r="E541" s="24"/>
      <c r="F541" s="24"/>
      <c r="G541" s="24"/>
      <c r="H541" s="24"/>
      <c r="I541" s="24"/>
      <c r="J541" s="24"/>
      <c r="K541" s="24"/>
      <c r="L541" s="24"/>
      <c r="M541" s="90"/>
    </row>
    <row r="542">
      <c r="A542" s="24"/>
      <c r="B542" s="24"/>
      <c r="C542" s="24"/>
      <c r="D542" s="24"/>
      <c r="E542" s="24"/>
      <c r="F542" s="24"/>
      <c r="G542" s="24"/>
      <c r="H542" s="24"/>
      <c r="I542" s="24"/>
      <c r="J542" s="24"/>
      <c r="K542" s="24"/>
      <c r="L542" s="24"/>
      <c r="M542" s="90"/>
    </row>
    <row r="543">
      <c r="A543" s="24"/>
      <c r="B543" s="24"/>
      <c r="C543" s="24"/>
      <c r="D543" s="24"/>
      <c r="E543" s="24"/>
      <c r="F543" s="24"/>
      <c r="G543" s="24"/>
      <c r="H543" s="24"/>
      <c r="I543" s="24"/>
      <c r="J543" s="24"/>
      <c r="K543" s="24"/>
      <c r="L543" s="24"/>
      <c r="M543" s="90"/>
    </row>
    <row r="544">
      <c r="A544" s="24"/>
      <c r="B544" s="24"/>
      <c r="C544" s="24"/>
      <c r="D544" s="24"/>
      <c r="E544" s="24"/>
      <c r="F544" s="24"/>
      <c r="G544" s="24"/>
      <c r="H544" s="24"/>
      <c r="I544" s="24"/>
      <c r="J544" s="24"/>
      <c r="K544" s="24"/>
      <c r="L544" s="24"/>
      <c r="M544" s="90"/>
    </row>
    <row r="545">
      <c r="A545" s="24"/>
      <c r="B545" s="24"/>
      <c r="C545" s="24"/>
      <c r="D545" s="24"/>
      <c r="E545" s="24"/>
      <c r="F545" s="24"/>
      <c r="G545" s="24"/>
      <c r="H545" s="24"/>
      <c r="I545" s="24"/>
      <c r="J545" s="24"/>
      <c r="K545" s="24"/>
      <c r="L545" s="24"/>
      <c r="M545" s="90"/>
    </row>
    <row r="546">
      <c r="A546" s="24"/>
      <c r="B546" s="24"/>
      <c r="C546" s="24"/>
      <c r="D546" s="24"/>
      <c r="E546" s="24"/>
      <c r="F546" s="24"/>
      <c r="G546" s="24"/>
      <c r="H546" s="24"/>
      <c r="I546" s="24"/>
      <c r="J546" s="24"/>
      <c r="K546" s="24"/>
      <c r="L546" s="24"/>
      <c r="M546" s="90"/>
    </row>
    <row r="547">
      <c r="A547" s="24"/>
      <c r="B547" s="24"/>
      <c r="C547" s="24"/>
      <c r="D547" s="24"/>
      <c r="E547" s="24"/>
      <c r="F547" s="24"/>
      <c r="G547" s="24"/>
      <c r="H547" s="24"/>
      <c r="I547" s="24"/>
      <c r="J547" s="24"/>
      <c r="K547" s="24"/>
      <c r="L547" s="24"/>
      <c r="M547" s="90"/>
    </row>
    <row r="548">
      <c r="A548" s="24"/>
      <c r="B548" s="24"/>
      <c r="C548" s="24"/>
      <c r="D548" s="24"/>
      <c r="E548" s="24"/>
      <c r="F548" s="24"/>
      <c r="G548" s="24"/>
      <c r="H548" s="24"/>
      <c r="I548" s="24"/>
      <c r="J548" s="24"/>
      <c r="K548" s="24"/>
      <c r="L548" s="24"/>
      <c r="M548" s="90"/>
    </row>
    <row r="549">
      <c r="A549" s="24"/>
      <c r="B549" s="24"/>
      <c r="C549" s="24"/>
      <c r="D549" s="24"/>
      <c r="E549" s="24"/>
      <c r="F549" s="24"/>
      <c r="G549" s="24"/>
      <c r="H549" s="24"/>
      <c r="I549" s="24"/>
      <c r="J549" s="24"/>
      <c r="K549" s="24"/>
      <c r="L549" s="24"/>
      <c r="M549" s="90"/>
    </row>
    <row r="550">
      <c r="A550" s="24"/>
      <c r="B550" s="24"/>
      <c r="C550" s="24"/>
      <c r="D550" s="24"/>
      <c r="E550" s="24"/>
      <c r="F550" s="24"/>
      <c r="G550" s="24"/>
      <c r="H550" s="24"/>
      <c r="I550" s="24"/>
      <c r="J550" s="24"/>
      <c r="K550" s="24"/>
      <c r="L550" s="24"/>
      <c r="M550" s="90"/>
    </row>
    <row r="551">
      <c r="A551" s="24"/>
      <c r="B551" s="24"/>
      <c r="C551" s="24"/>
      <c r="D551" s="24"/>
      <c r="E551" s="24"/>
      <c r="F551" s="24"/>
      <c r="G551" s="24"/>
      <c r="H551" s="24"/>
      <c r="I551" s="24"/>
      <c r="J551" s="24"/>
      <c r="K551" s="24"/>
      <c r="L551" s="24"/>
      <c r="M551" s="90"/>
    </row>
    <row r="552">
      <c r="A552" s="24"/>
      <c r="B552" s="24"/>
      <c r="C552" s="24"/>
      <c r="D552" s="24"/>
      <c r="E552" s="24"/>
      <c r="F552" s="24"/>
      <c r="G552" s="24"/>
      <c r="H552" s="24"/>
      <c r="I552" s="24"/>
      <c r="J552" s="24"/>
      <c r="K552" s="24"/>
      <c r="L552" s="24"/>
      <c r="M552" s="90"/>
    </row>
    <row r="553">
      <c r="A553" s="24"/>
      <c r="B553" s="24"/>
      <c r="C553" s="24"/>
      <c r="D553" s="24"/>
      <c r="E553" s="24"/>
      <c r="F553" s="24"/>
      <c r="G553" s="24"/>
      <c r="H553" s="24"/>
      <c r="I553" s="24"/>
      <c r="J553" s="24"/>
      <c r="K553" s="24"/>
      <c r="L553" s="24"/>
      <c r="M553" s="90"/>
    </row>
    <row r="554">
      <c r="A554" s="24"/>
      <c r="B554" s="24"/>
      <c r="C554" s="24"/>
      <c r="D554" s="24"/>
      <c r="E554" s="24"/>
      <c r="F554" s="24"/>
      <c r="G554" s="24"/>
      <c r="H554" s="24"/>
      <c r="I554" s="24"/>
      <c r="J554" s="24"/>
      <c r="K554" s="24"/>
      <c r="L554" s="24"/>
      <c r="M554" s="90"/>
    </row>
    <row r="555">
      <c r="A555" s="24"/>
      <c r="B555" s="24"/>
      <c r="C555" s="24"/>
      <c r="D555" s="24"/>
      <c r="E555" s="24"/>
      <c r="F555" s="24"/>
      <c r="G555" s="24"/>
      <c r="H555" s="24"/>
      <c r="I555" s="24"/>
      <c r="J555" s="24"/>
      <c r="K555" s="24"/>
      <c r="L555" s="24"/>
      <c r="M555" s="90"/>
    </row>
    <row r="556">
      <c r="A556" s="24"/>
      <c r="B556" s="24"/>
      <c r="C556" s="24"/>
      <c r="D556" s="24"/>
      <c r="E556" s="24"/>
      <c r="F556" s="24"/>
      <c r="G556" s="24"/>
      <c r="H556" s="24"/>
      <c r="I556" s="24"/>
      <c r="J556" s="24"/>
      <c r="K556" s="24"/>
      <c r="L556" s="24"/>
      <c r="M556" s="90"/>
    </row>
    <row r="557">
      <c r="A557" s="24"/>
      <c r="B557" s="24"/>
      <c r="C557" s="24"/>
      <c r="D557" s="24"/>
      <c r="E557" s="24"/>
      <c r="F557" s="24"/>
      <c r="G557" s="24"/>
      <c r="H557" s="24"/>
      <c r="I557" s="24"/>
      <c r="J557" s="24"/>
      <c r="K557" s="24"/>
      <c r="L557" s="24"/>
      <c r="M557" s="90"/>
    </row>
    <row r="558">
      <c r="A558" s="24"/>
      <c r="B558" s="24"/>
      <c r="C558" s="24"/>
      <c r="D558" s="24"/>
      <c r="E558" s="24"/>
      <c r="F558" s="24"/>
      <c r="G558" s="24"/>
      <c r="H558" s="24"/>
      <c r="I558" s="24"/>
      <c r="J558" s="24"/>
      <c r="K558" s="24"/>
      <c r="L558" s="24"/>
      <c r="M558" s="90"/>
    </row>
    <row r="559">
      <c r="A559" s="24"/>
      <c r="B559" s="24"/>
      <c r="C559" s="24"/>
      <c r="D559" s="24"/>
      <c r="E559" s="24"/>
      <c r="F559" s="24"/>
      <c r="G559" s="24"/>
      <c r="H559" s="24"/>
      <c r="I559" s="24"/>
      <c r="J559" s="24"/>
      <c r="K559" s="24"/>
      <c r="L559" s="24"/>
      <c r="M559" s="90"/>
    </row>
    <row r="560">
      <c r="A560" s="24"/>
      <c r="B560" s="24"/>
      <c r="C560" s="24"/>
      <c r="D560" s="24"/>
      <c r="E560" s="24"/>
      <c r="F560" s="24"/>
      <c r="G560" s="24"/>
      <c r="H560" s="24"/>
      <c r="I560" s="24"/>
      <c r="J560" s="24"/>
      <c r="K560" s="24"/>
      <c r="L560" s="24"/>
      <c r="M560" s="90"/>
    </row>
    <row r="561">
      <c r="A561" s="24"/>
      <c r="B561" s="24"/>
      <c r="C561" s="24"/>
      <c r="D561" s="24"/>
      <c r="E561" s="24"/>
      <c r="F561" s="24"/>
      <c r="G561" s="24"/>
      <c r="H561" s="24"/>
      <c r="I561" s="24"/>
      <c r="J561" s="24"/>
      <c r="K561" s="24"/>
      <c r="L561" s="24"/>
      <c r="M561" s="90"/>
    </row>
    <row r="562">
      <c r="A562" s="24"/>
      <c r="B562" s="24"/>
      <c r="C562" s="24"/>
      <c r="D562" s="24"/>
      <c r="E562" s="24"/>
      <c r="F562" s="24"/>
      <c r="G562" s="24"/>
      <c r="H562" s="24"/>
      <c r="I562" s="24"/>
      <c r="J562" s="24"/>
      <c r="K562" s="24"/>
      <c r="L562" s="24"/>
      <c r="M562" s="90"/>
    </row>
    <row r="563">
      <c r="A563" s="24"/>
      <c r="B563" s="24"/>
      <c r="C563" s="24"/>
      <c r="D563" s="24"/>
      <c r="E563" s="24"/>
      <c r="F563" s="24"/>
      <c r="G563" s="24"/>
      <c r="H563" s="24"/>
      <c r="I563" s="24"/>
      <c r="J563" s="24"/>
      <c r="K563" s="24"/>
      <c r="L563" s="24"/>
      <c r="M563" s="90"/>
    </row>
    <row r="564">
      <c r="A564" s="24"/>
      <c r="B564" s="24"/>
      <c r="C564" s="24"/>
      <c r="D564" s="24"/>
      <c r="E564" s="24"/>
      <c r="F564" s="24"/>
      <c r="G564" s="24"/>
      <c r="H564" s="24"/>
      <c r="I564" s="24"/>
      <c r="J564" s="24"/>
      <c r="K564" s="24"/>
      <c r="L564" s="24"/>
      <c r="M564" s="90"/>
    </row>
    <row r="565">
      <c r="A565" s="24"/>
      <c r="B565" s="24"/>
      <c r="C565" s="24"/>
      <c r="D565" s="24"/>
      <c r="E565" s="24"/>
      <c r="F565" s="24"/>
      <c r="G565" s="24"/>
      <c r="H565" s="24"/>
      <c r="I565" s="24"/>
      <c r="J565" s="24"/>
      <c r="K565" s="24"/>
      <c r="L565" s="24"/>
      <c r="M565" s="90"/>
    </row>
    <row r="566">
      <c r="A566" s="24"/>
      <c r="B566" s="24"/>
      <c r="C566" s="24"/>
      <c r="D566" s="24"/>
      <c r="E566" s="24"/>
      <c r="F566" s="24"/>
      <c r="G566" s="24"/>
      <c r="H566" s="24"/>
      <c r="I566" s="24"/>
      <c r="J566" s="24"/>
      <c r="K566" s="24"/>
      <c r="L566" s="24"/>
      <c r="M566" s="90"/>
    </row>
    <row r="567">
      <c r="A567" s="24"/>
      <c r="B567" s="24"/>
      <c r="C567" s="24"/>
      <c r="D567" s="24"/>
      <c r="E567" s="24"/>
      <c r="F567" s="24"/>
      <c r="G567" s="24"/>
      <c r="H567" s="24"/>
      <c r="I567" s="24"/>
      <c r="J567" s="24"/>
      <c r="K567" s="24"/>
      <c r="L567" s="24"/>
      <c r="M567" s="90"/>
    </row>
    <row r="568">
      <c r="A568" s="24"/>
      <c r="B568" s="24"/>
      <c r="C568" s="24"/>
      <c r="D568" s="24"/>
      <c r="E568" s="24"/>
      <c r="F568" s="24"/>
      <c r="G568" s="24"/>
      <c r="H568" s="24"/>
      <c r="I568" s="24"/>
      <c r="J568" s="24"/>
      <c r="K568" s="24"/>
      <c r="L568" s="24"/>
      <c r="M568" s="90"/>
    </row>
    <row r="569">
      <c r="A569" s="24"/>
      <c r="B569" s="24"/>
      <c r="C569" s="24"/>
      <c r="D569" s="24"/>
      <c r="E569" s="24"/>
      <c r="F569" s="24"/>
      <c r="G569" s="24"/>
      <c r="H569" s="24"/>
      <c r="I569" s="24"/>
      <c r="J569" s="24"/>
      <c r="K569" s="24"/>
      <c r="L569" s="24"/>
      <c r="M569" s="90"/>
    </row>
    <row r="570">
      <c r="A570" s="24"/>
      <c r="B570" s="24"/>
      <c r="C570" s="24"/>
      <c r="D570" s="24"/>
      <c r="E570" s="24"/>
      <c r="F570" s="24"/>
      <c r="G570" s="24"/>
      <c r="H570" s="24"/>
      <c r="I570" s="24"/>
      <c r="J570" s="24"/>
      <c r="K570" s="24"/>
      <c r="L570" s="24"/>
      <c r="M570" s="90"/>
    </row>
    <row r="571">
      <c r="A571" s="24"/>
      <c r="B571" s="24"/>
      <c r="C571" s="24"/>
      <c r="D571" s="24"/>
      <c r="E571" s="24"/>
      <c r="F571" s="24"/>
      <c r="G571" s="24"/>
      <c r="H571" s="24"/>
      <c r="I571" s="24"/>
      <c r="J571" s="24"/>
      <c r="K571" s="24"/>
      <c r="L571" s="24"/>
      <c r="M571" s="90"/>
    </row>
    <row r="572">
      <c r="A572" s="24"/>
      <c r="B572" s="24"/>
      <c r="C572" s="24"/>
      <c r="D572" s="24"/>
      <c r="E572" s="24"/>
      <c r="F572" s="24"/>
      <c r="G572" s="24"/>
      <c r="H572" s="24"/>
      <c r="I572" s="24"/>
      <c r="J572" s="24"/>
      <c r="K572" s="24"/>
      <c r="L572" s="24"/>
      <c r="M572" s="90"/>
    </row>
    <row r="573">
      <c r="A573" s="24"/>
      <c r="B573" s="24"/>
      <c r="C573" s="24"/>
      <c r="D573" s="24"/>
      <c r="E573" s="24"/>
      <c r="F573" s="24"/>
      <c r="G573" s="24"/>
      <c r="H573" s="24"/>
      <c r="I573" s="24"/>
      <c r="J573" s="24"/>
      <c r="K573" s="24"/>
      <c r="L573" s="24"/>
      <c r="M573" s="90"/>
    </row>
    <row r="574">
      <c r="A574" s="24"/>
      <c r="B574" s="24"/>
      <c r="C574" s="24"/>
      <c r="D574" s="24"/>
      <c r="E574" s="24"/>
      <c r="F574" s="24"/>
      <c r="G574" s="24"/>
      <c r="H574" s="24"/>
      <c r="I574" s="24"/>
      <c r="J574" s="24"/>
      <c r="K574" s="24"/>
      <c r="L574" s="24"/>
      <c r="M574" s="90"/>
    </row>
    <row r="575">
      <c r="A575" s="24"/>
      <c r="B575" s="24"/>
      <c r="C575" s="24"/>
      <c r="D575" s="24"/>
      <c r="E575" s="24"/>
      <c r="F575" s="24"/>
      <c r="G575" s="24"/>
      <c r="H575" s="24"/>
      <c r="I575" s="24"/>
      <c r="J575" s="24"/>
      <c r="K575" s="24"/>
      <c r="L575" s="24"/>
      <c r="M575" s="90"/>
    </row>
    <row r="576">
      <c r="A576" s="24"/>
      <c r="B576" s="24"/>
      <c r="C576" s="24"/>
      <c r="D576" s="24"/>
      <c r="E576" s="24"/>
      <c r="F576" s="24"/>
      <c r="G576" s="24"/>
      <c r="H576" s="24"/>
      <c r="I576" s="24"/>
      <c r="J576" s="24"/>
      <c r="K576" s="24"/>
      <c r="L576" s="24"/>
      <c r="M576" s="90"/>
    </row>
    <row r="577">
      <c r="A577" s="24"/>
      <c r="B577" s="24"/>
      <c r="C577" s="24"/>
      <c r="D577" s="24"/>
      <c r="E577" s="24"/>
      <c r="F577" s="24"/>
      <c r="G577" s="24"/>
      <c r="H577" s="24"/>
      <c r="I577" s="24"/>
      <c r="J577" s="24"/>
      <c r="K577" s="24"/>
      <c r="L577" s="24"/>
      <c r="M577" s="90"/>
    </row>
    <row r="578">
      <c r="A578" s="24"/>
      <c r="B578" s="24"/>
      <c r="C578" s="24"/>
      <c r="D578" s="24"/>
      <c r="E578" s="24"/>
      <c r="F578" s="24"/>
      <c r="G578" s="24"/>
      <c r="H578" s="24"/>
      <c r="I578" s="24"/>
      <c r="J578" s="24"/>
      <c r="K578" s="24"/>
      <c r="L578" s="24"/>
      <c r="M578" s="90"/>
    </row>
    <row r="579">
      <c r="A579" s="24"/>
      <c r="B579" s="24"/>
      <c r="C579" s="24"/>
      <c r="D579" s="24"/>
      <c r="E579" s="24"/>
      <c r="F579" s="24"/>
      <c r="G579" s="24"/>
      <c r="H579" s="24"/>
      <c r="I579" s="24"/>
      <c r="J579" s="24"/>
      <c r="K579" s="24"/>
      <c r="L579" s="24"/>
      <c r="M579" s="90"/>
    </row>
    <row r="580">
      <c r="A580" s="24"/>
      <c r="B580" s="24"/>
      <c r="C580" s="24"/>
      <c r="D580" s="24"/>
      <c r="E580" s="24"/>
      <c r="F580" s="24"/>
      <c r="G580" s="24"/>
      <c r="H580" s="24"/>
      <c r="I580" s="24"/>
      <c r="J580" s="24"/>
      <c r="K580" s="24"/>
      <c r="L580" s="24"/>
      <c r="M580" s="90"/>
    </row>
    <row r="581">
      <c r="A581" s="24"/>
      <c r="B581" s="24"/>
      <c r="C581" s="24"/>
      <c r="D581" s="24"/>
      <c r="E581" s="24"/>
      <c r="F581" s="24"/>
      <c r="G581" s="24"/>
      <c r="H581" s="24"/>
      <c r="I581" s="24"/>
      <c r="J581" s="24"/>
      <c r="K581" s="24"/>
      <c r="L581" s="24"/>
      <c r="M581" s="90"/>
    </row>
    <row r="582">
      <c r="A582" s="24"/>
      <c r="B582" s="24"/>
      <c r="C582" s="24"/>
      <c r="D582" s="24"/>
      <c r="E582" s="24"/>
      <c r="F582" s="24"/>
      <c r="G582" s="24"/>
      <c r="H582" s="24"/>
      <c r="I582" s="24"/>
      <c r="J582" s="24"/>
      <c r="K582" s="24"/>
      <c r="L582" s="24"/>
      <c r="M582" s="90"/>
    </row>
    <row r="583">
      <c r="A583" s="24"/>
      <c r="B583" s="24"/>
      <c r="C583" s="24"/>
      <c r="D583" s="24"/>
      <c r="E583" s="24"/>
      <c r="F583" s="24"/>
      <c r="G583" s="24"/>
      <c r="H583" s="24"/>
      <c r="I583" s="24"/>
      <c r="J583" s="24"/>
      <c r="K583" s="24"/>
      <c r="L583" s="24"/>
      <c r="M583" s="90"/>
    </row>
    <row r="584">
      <c r="A584" s="24"/>
      <c r="B584" s="24"/>
      <c r="C584" s="24"/>
      <c r="D584" s="24"/>
      <c r="E584" s="24"/>
      <c r="F584" s="24"/>
      <c r="G584" s="24"/>
      <c r="H584" s="24"/>
      <c r="I584" s="24"/>
      <c r="J584" s="24"/>
      <c r="K584" s="24"/>
      <c r="L584" s="24"/>
      <c r="M584" s="90"/>
    </row>
    <row r="585">
      <c r="A585" s="24"/>
      <c r="B585" s="24"/>
      <c r="C585" s="24"/>
      <c r="D585" s="24"/>
      <c r="E585" s="24"/>
      <c r="F585" s="24"/>
      <c r="G585" s="24"/>
      <c r="H585" s="24"/>
      <c r="I585" s="24"/>
      <c r="J585" s="24"/>
      <c r="K585" s="24"/>
      <c r="L585" s="24"/>
      <c r="M585" s="90"/>
    </row>
    <row r="586">
      <c r="A586" s="24"/>
      <c r="B586" s="24"/>
      <c r="C586" s="24"/>
      <c r="D586" s="24"/>
      <c r="E586" s="24"/>
      <c r="F586" s="24"/>
      <c r="G586" s="24"/>
      <c r="H586" s="24"/>
      <c r="I586" s="24"/>
      <c r="J586" s="24"/>
      <c r="K586" s="24"/>
      <c r="L586" s="24"/>
      <c r="M586" s="90"/>
    </row>
    <row r="587">
      <c r="A587" s="24"/>
      <c r="B587" s="24"/>
      <c r="C587" s="24"/>
      <c r="D587" s="24"/>
      <c r="E587" s="24"/>
      <c r="F587" s="24"/>
      <c r="G587" s="24"/>
      <c r="H587" s="24"/>
      <c r="I587" s="24"/>
      <c r="J587" s="24"/>
      <c r="K587" s="24"/>
      <c r="L587" s="24"/>
      <c r="M587" s="90"/>
    </row>
    <row r="588">
      <c r="A588" s="24"/>
      <c r="B588" s="24"/>
      <c r="C588" s="24"/>
      <c r="D588" s="24"/>
      <c r="E588" s="24"/>
      <c r="F588" s="24"/>
      <c r="G588" s="24"/>
      <c r="H588" s="24"/>
      <c r="I588" s="24"/>
      <c r="J588" s="24"/>
      <c r="K588" s="24"/>
      <c r="L588" s="24"/>
      <c r="M588" s="90"/>
    </row>
    <row r="589">
      <c r="A589" s="24"/>
      <c r="B589" s="24"/>
      <c r="C589" s="24"/>
      <c r="D589" s="24"/>
      <c r="E589" s="24"/>
      <c r="F589" s="24"/>
      <c r="G589" s="24"/>
      <c r="H589" s="24"/>
      <c r="I589" s="24"/>
      <c r="J589" s="24"/>
      <c r="K589" s="24"/>
      <c r="L589" s="24"/>
      <c r="M589" s="90"/>
    </row>
    <row r="590">
      <c r="A590" s="24"/>
      <c r="B590" s="24"/>
      <c r="C590" s="24"/>
      <c r="D590" s="24"/>
      <c r="E590" s="24"/>
      <c r="F590" s="24"/>
      <c r="G590" s="24"/>
      <c r="H590" s="24"/>
      <c r="I590" s="24"/>
      <c r="J590" s="24"/>
      <c r="K590" s="24"/>
      <c r="L590" s="24"/>
      <c r="M590" s="90"/>
    </row>
    <row r="591">
      <c r="A591" s="24"/>
      <c r="B591" s="24"/>
      <c r="C591" s="24"/>
      <c r="D591" s="24"/>
      <c r="E591" s="24"/>
      <c r="F591" s="24"/>
      <c r="G591" s="24"/>
      <c r="H591" s="24"/>
      <c r="I591" s="24"/>
      <c r="J591" s="24"/>
      <c r="K591" s="24"/>
      <c r="L591" s="24"/>
      <c r="M591" s="90"/>
    </row>
    <row r="592">
      <c r="A592" s="24"/>
      <c r="B592" s="24"/>
      <c r="C592" s="24"/>
      <c r="D592" s="24"/>
      <c r="E592" s="24"/>
      <c r="F592" s="24"/>
      <c r="G592" s="24"/>
      <c r="H592" s="24"/>
      <c r="I592" s="24"/>
      <c r="J592" s="24"/>
      <c r="K592" s="24"/>
      <c r="L592" s="24"/>
      <c r="M592" s="90"/>
    </row>
    <row r="593">
      <c r="A593" s="24"/>
      <c r="B593" s="24"/>
      <c r="C593" s="24"/>
      <c r="D593" s="24"/>
      <c r="E593" s="24"/>
      <c r="F593" s="24"/>
      <c r="G593" s="24"/>
      <c r="H593" s="24"/>
      <c r="I593" s="24"/>
      <c r="J593" s="24"/>
      <c r="K593" s="24"/>
      <c r="L593" s="24"/>
      <c r="M593" s="90"/>
    </row>
    <row r="594">
      <c r="A594" s="24"/>
      <c r="B594" s="24"/>
      <c r="C594" s="24"/>
      <c r="D594" s="24"/>
      <c r="E594" s="24"/>
      <c r="F594" s="24"/>
      <c r="G594" s="24"/>
      <c r="H594" s="24"/>
      <c r="I594" s="24"/>
      <c r="J594" s="24"/>
      <c r="K594" s="24"/>
      <c r="L594" s="24"/>
      <c r="M594" s="90"/>
    </row>
    <row r="595">
      <c r="A595" s="24"/>
      <c r="B595" s="24"/>
      <c r="C595" s="24"/>
      <c r="D595" s="24"/>
      <c r="E595" s="24"/>
      <c r="F595" s="24"/>
      <c r="G595" s="24"/>
      <c r="H595" s="24"/>
      <c r="I595" s="24"/>
      <c r="J595" s="24"/>
      <c r="K595" s="24"/>
      <c r="L595" s="24"/>
      <c r="M595" s="90"/>
    </row>
    <row r="596">
      <c r="A596" s="24"/>
      <c r="B596" s="24"/>
      <c r="C596" s="24"/>
      <c r="D596" s="24"/>
      <c r="E596" s="24"/>
      <c r="F596" s="24"/>
      <c r="G596" s="24"/>
      <c r="H596" s="24"/>
      <c r="I596" s="24"/>
      <c r="J596" s="24"/>
      <c r="K596" s="24"/>
      <c r="L596" s="24"/>
      <c r="M596" s="90"/>
    </row>
    <row r="597">
      <c r="A597" s="24"/>
      <c r="B597" s="24"/>
      <c r="C597" s="24"/>
      <c r="D597" s="24"/>
      <c r="E597" s="24"/>
      <c r="F597" s="24"/>
      <c r="G597" s="24"/>
      <c r="H597" s="24"/>
      <c r="I597" s="24"/>
      <c r="J597" s="24"/>
      <c r="K597" s="24"/>
      <c r="L597" s="24"/>
      <c r="M597" s="90"/>
    </row>
    <row r="598">
      <c r="A598" s="24"/>
      <c r="B598" s="24"/>
      <c r="C598" s="24"/>
      <c r="D598" s="24"/>
      <c r="E598" s="24"/>
      <c r="F598" s="24"/>
      <c r="G598" s="24"/>
      <c r="H598" s="24"/>
      <c r="I598" s="24"/>
      <c r="J598" s="24"/>
      <c r="K598" s="24"/>
      <c r="L598" s="24"/>
      <c r="M598" s="90"/>
    </row>
    <row r="599">
      <c r="A599" s="24"/>
      <c r="B599" s="24"/>
      <c r="C599" s="24"/>
      <c r="D599" s="24"/>
      <c r="E599" s="24"/>
      <c r="F599" s="24"/>
      <c r="G599" s="24"/>
      <c r="H599" s="24"/>
      <c r="I599" s="24"/>
      <c r="J599" s="24"/>
      <c r="K599" s="24"/>
      <c r="L599" s="24"/>
      <c r="M599" s="90"/>
    </row>
    <row r="600">
      <c r="A600" s="24"/>
      <c r="B600" s="24"/>
      <c r="C600" s="24"/>
      <c r="D600" s="24"/>
      <c r="E600" s="24"/>
      <c r="F600" s="24"/>
      <c r="G600" s="24"/>
      <c r="H600" s="24"/>
      <c r="I600" s="24"/>
      <c r="J600" s="24"/>
      <c r="K600" s="24"/>
      <c r="L600" s="24"/>
      <c r="M600" s="90"/>
    </row>
    <row r="601">
      <c r="A601" s="24"/>
      <c r="B601" s="24"/>
      <c r="C601" s="24"/>
      <c r="D601" s="24"/>
      <c r="E601" s="24"/>
      <c r="F601" s="24"/>
      <c r="G601" s="24"/>
      <c r="H601" s="24"/>
      <c r="I601" s="24"/>
      <c r="J601" s="24"/>
      <c r="K601" s="24"/>
      <c r="L601" s="24"/>
      <c r="M601" s="90"/>
    </row>
    <row r="602">
      <c r="A602" s="24"/>
      <c r="B602" s="24"/>
      <c r="C602" s="24"/>
      <c r="D602" s="24"/>
      <c r="E602" s="24"/>
      <c r="F602" s="24"/>
      <c r="G602" s="24"/>
      <c r="H602" s="24"/>
      <c r="I602" s="24"/>
      <c r="J602" s="24"/>
      <c r="K602" s="24"/>
      <c r="L602" s="24"/>
      <c r="M602" s="90"/>
    </row>
    <row r="603">
      <c r="A603" s="24"/>
      <c r="B603" s="24"/>
      <c r="C603" s="24"/>
      <c r="D603" s="24"/>
      <c r="E603" s="24"/>
      <c r="F603" s="24"/>
      <c r="G603" s="24"/>
      <c r="H603" s="24"/>
      <c r="I603" s="24"/>
      <c r="J603" s="24"/>
      <c r="K603" s="24"/>
      <c r="L603" s="24"/>
      <c r="M603" s="90"/>
    </row>
    <row r="604">
      <c r="A604" s="24"/>
      <c r="B604" s="24"/>
      <c r="C604" s="24"/>
      <c r="D604" s="24"/>
      <c r="E604" s="24"/>
      <c r="F604" s="24"/>
      <c r="G604" s="24"/>
      <c r="H604" s="24"/>
      <c r="I604" s="24"/>
      <c r="J604" s="24"/>
      <c r="K604" s="24"/>
      <c r="L604" s="24"/>
      <c r="M604" s="90"/>
    </row>
    <row r="605">
      <c r="A605" s="24"/>
      <c r="B605" s="24"/>
      <c r="C605" s="24"/>
      <c r="D605" s="24"/>
      <c r="E605" s="24"/>
      <c r="F605" s="24"/>
      <c r="G605" s="24"/>
      <c r="H605" s="24"/>
      <c r="I605" s="24"/>
      <c r="J605" s="24"/>
      <c r="K605" s="24"/>
      <c r="L605" s="24"/>
      <c r="M605" s="90"/>
    </row>
    <row r="606">
      <c r="A606" s="24"/>
      <c r="B606" s="24"/>
      <c r="C606" s="24"/>
      <c r="D606" s="24"/>
      <c r="E606" s="24"/>
      <c r="F606" s="24"/>
      <c r="G606" s="24"/>
      <c r="H606" s="24"/>
      <c r="I606" s="24"/>
      <c r="J606" s="24"/>
      <c r="K606" s="24"/>
      <c r="L606" s="24"/>
      <c r="M606" s="90"/>
    </row>
    <row r="607">
      <c r="A607" s="24"/>
      <c r="B607" s="24"/>
      <c r="C607" s="24"/>
      <c r="D607" s="24"/>
      <c r="E607" s="24"/>
      <c r="F607" s="24"/>
      <c r="G607" s="24"/>
      <c r="H607" s="24"/>
      <c r="I607" s="24"/>
      <c r="J607" s="24"/>
      <c r="K607" s="24"/>
      <c r="L607" s="24"/>
      <c r="M607" s="90"/>
    </row>
    <row r="608">
      <c r="A608" s="24"/>
      <c r="B608" s="24"/>
      <c r="C608" s="24"/>
      <c r="D608" s="24"/>
      <c r="E608" s="24"/>
      <c r="F608" s="24"/>
      <c r="G608" s="24"/>
      <c r="H608" s="24"/>
      <c r="I608" s="24"/>
      <c r="J608" s="24"/>
      <c r="K608" s="24"/>
      <c r="L608" s="24"/>
      <c r="M608" s="90"/>
    </row>
    <row r="609">
      <c r="A609" s="24"/>
      <c r="B609" s="24"/>
      <c r="C609" s="24"/>
      <c r="D609" s="24"/>
      <c r="E609" s="24"/>
      <c r="F609" s="24"/>
      <c r="G609" s="24"/>
      <c r="H609" s="24"/>
      <c r="I609" s="24"/>
      <c r="J609" s="24"/>
      <c r="K609" s="24"/>
      <c r="L609" s="24"/>
      <c r="M609" s="90"/>
    </row>
    <row r="610">
      <c r="A610" s="24"/>
      <c r="B610" s="24"/>
      <c r="C610" s="24"/>
      <c r="D610" s="24"/>
      <c r="E610" s="24"/>
      <c r="F610" s="24"/>
      <c r="G610" s="24"/>
      <c r="H610" s="24"/>
      <c r="I610" s="24"/>
      <c r="J610" s="24"/>
      <c r="K610" s="24"/>
      <c r="L610" s="24"/>
      <c r="M610" s="90"/>
    </row>
    <row r="611">
      <c r="A611" s="24"/>
      <c r="B611" s="24"/>
      <c r="C611" s="24"/>
      <c r="D611" s="24"/>
      <c r="E611" s="24"/>
      <c r="F611" s="24"/>
      <c r="G611" s="24"/>
      <c r="H611" s="24"/>
      <c r="I611" s="24"/>
      <c r="J611" s="24"/>
      <c r="K611" s="24"/>
      <c r="L611" s="24"/>
      <c r="M611" s="90"/>
    </row>
    <row r="612">
      <c r="A612" s="24"/>
      <c r="B612" s="24"/>
      <c r="C612" s="24"/>
      <c r="D612" s="24"/>
      <c r="E612" s="24"/>
      <c r="F612" s="24"/>
      <c r="G612" s="24"/>
      <c r="H612" s="24"/>
      <c r="I612" s="24"/>
      <c r="J612" s="24"/>
      <c r="K612" s="24"/>
      <c r="L612" s="24"/>
      <c r="M612" s="90"/>
    </row>
    <row r="613">
      <c r="A613" s="24"/>
      <c r="B613" s="24"/>
      <c r="C613" s="24"/>
      <c r="D613" s="24"/>
      <c r="E613" s="24"/>
      <c r="F613" s="24"/>
      <c r="G613" s="24"/>
      <c r="H613" s="24"/>
      <c r="I613" s="24"/>
      <c r="J613" s="24"/>
      <c r="K613" s="24"/>
      <c r="L613" s="24"/>
      <c r="M613" s="90"/>
    </row>
    <row r="614">
      <c r="A614" s="24"/>
      <c r="B614" s="24"/>
      <c r="C614" s="24"/>
      <c r="D614" s="24"/>
      <c r="E614" s="24"/>
      <c r="F614" s="24"/>
      <c r="G614" s="24"/>
      <c r="H614" s="24"/>
      <c r="I614" s="24"/>
      <c r="J614" s="24"/>
      <c r="K614" s="24"/>
      <c r="L614" s="24"/>
      <c r="M614" s="90"/>
    </row>
    <row r="615">
      <c r="A615" s="24"/>
      <c r="B615" s="24"/>
      <c r="C615" s="24"/>
      <c r="D615" s="24"/>
      <c r="E615" s="24"/>
      <c r="F615" s="24"/>
      <c r="G615" s="24"/>
      <c r="H615" s="24"/>
      <c r="I615" s="24"/>
      <c r="J615" s="24"/>
      <c r="K615" s="24"/>
      <c r="L615" s="24"/>
      <c r="M615" s="90"/>
    </row>
    <row r="616">
      <c r="A616" s="24"/>
      <c r="B616" s="24"/>
      <c r="C616" s="24"/>
      <c r="D616" s="24"/>
      <c r="E616" s="24"/>
      <c r="F616" s="24"/>
      <c r="G616" s="24"/>
      <c r="H616" s="24"/>
      <c r="I616" s="24"/>
      <c r="J616" s="24"/>
      <c r="K616" s="24"/>
      <c r="L616" s="24"/>
      <c r="M616" s="90"/>
    </row>
    <row r="617">
      <c r="A617" s="24"/>
      <c r="B617" s="24"/>
      <c r="C617" s="24"/>
      <c r="D617" s="24"/>
      <c r="E617" s="24"/>
      <c r="F617" s="24"/>
      <c r="G617" s="24"/>
      <c r="H617" s="24"/>
      <c r="I617" s="24"/>
      <c r="J617" s="24"/>
      <c r="K617" s="24"/>
      <c r="L617" s="24"/>
      <c r="M617" s="90"/>
    </row>
    <row r="618">
      <c r="A618" s="24"/>
      <c r="B618" s="24"/>
      <c r="C618" s="24"/>
      <c r="D618" s="24"/>
      <c r="E618" s="24"/>
      <c r="F618" s="24"/>
      <c r="G618" s="24"/>
      <c r="H618" s="24"/>
      <c r="I618" s="24"/>
      <c r="J618" s="24"/>
      <c r="K618" s="24"/>
      <c r="L618" s="24"/>
      <c r="M618" s="90"/>
    </row>
    <row r="619">
      <c r="A619" s="24"/>
      <c r="B619" s="24"/>
      <c r="C619" s="24"/>
      <c r="D619" s="24"/>
      <c r="E619" s="24"/>
      <c r="F619" s="24"/>
      <c r="G619" s="24"/>
      <c r="H619" s="24"/>
      <c r="I619" s="24"/>
      <c r="J619" s="24"/>
      <c r="K619" s="24"/>
      <c r="L619" s="24"/>
      <c r="M619" s="90"/>
    </row>
    <row r="620">
      <c r="A620" s="24"/>
      <c r="B620" s="24"/>
      <c r="C620" s="24"/>
      <c r="D620" s="24"/>
      <c r="E620" s="24"/>
      <c r="F620" s="24"/>
      <c r="G620" s="24"/>
      <c r="H620" s="24"/>
      <c r="I620" s="24"/>
      <c r="J620" s="24"/>
      <c r="K620" s="24"/>
      <c r="L620" s="24"/>
      <c r="M620" s="90"/>
    </row>
    <row r="621">
      <c r="A621" s="24"/>
      <c r="B621" s="24"/>
      <c r="C621" s="24"/>
      <c r="D621" s="24"/>
      <c r="E621" s="24"/>
      <c r="F621" s="24"/>
      <c r="G621" s="24"/>
      <c r="H621" s="24"/>
      <c r="I621" s="24"/>
      <c r="J621" s="24"/>
      <c r="K621" s="24"/>
      <c r="L621" s="24"/>
      <c r="M621" s="90"/>
    </row>
    <row r="622">
      <c r="A622" s="24"/>
      <c r="B622" s="24"/>
      <c r="C622" s="24"/>
      <c r="D622" s="24"/>
      <c r="E622" s="24"/>
      <c r="F622" s="24"/>
      <c r="G622" s="24"/>
      <c r="H622" s="24"/>
      <c r="I622" s="24"/>
      <c r="J622" s="24"/>
      <c r="K622" s="24"/>
      <c r="L622" s="24"/>
      <c r="M622" s="90"/>
    </row>
    <row r="623">
      <c r="A623" s="24"/>
      <c r="B623" s="24"/>
      <c r="C623" s="24"/>
      <c r="D623" s="24"/>
      <c r="E623" s="24"/>
      <c r="F623" s="24"/>
      <c r="G623" s="24"/>
      <c r="H623" s="24"/>
      <c r="I623" s="24"/>
      <c r="J623" s="24"/>
      <c r="K623" s="24"/>
      <c r="L623" s="24"/>
      <c r="M623" s="90"/>
    </row>
    <row r="624">
      <c r="A624" s="24"/>
      <c r="B624" s="24"/>
      <c r="C624" s="24"/>
      <c r="D624" s="24"/>
      <c r="E624" s="24"/>
      <c r="F624" s="24"/>
      <c r="G624" s="24"/>
      <c r="H624" s="24"/>
      <c r="I624" s="24"/>
      <c r="J624" s="24"/>
      <c r="K624" s="24"/>
      <c r="L624" s="24"/>
      <c r="M624" s="90"/>
    </row>
    <row r="625">
      <c r="A625" s="24"/>
      <c r="B625" s="24"/>
      <c r="C625" s="24"/>
      <c r="D625" s="24"/>
      <c r="E625" s="24"/>
      <c r="F625" s="24"/>
      <c r="G625" s="24"/>
      <c r="H625" s="24"/>
      <c r="I625" s="24"/>
      <c r="J625" s="24"/>
      <c r="K625" s="24"/>
      <c r="L625" s="24"/>
      <c r="M625" s="90"/>
    </row>
    <row r="626">
      <c r="A626" s="24"/>
      <c r="B626" s="24"/>
      <c r="C626" s="24"/>
      <c r="D626" s="24"/>
      <c r="E626" s="24"/>
      <c r="F626" s="24"/>
      <c r="G626" s="24"/>
      <c r="H626" s="24"/>
      <c r="I626" s="24"/>
      <c r="J626" s="24"/>
      <c r="K626" s="24"/>
      <c r="L626" s="24"/>
      <c r="M626" s="90"/>
    </row>
    <row r="627">
      <c r="A627" s="24"/>
      <c r="B627" s="24"/>
      <c r="C627" s="24"/>
      <c r="D627" s="24"/>
      <c r="E627" s="24"/>
      <c r="F627" s="24"/>
      <c r="G627" s="24"/>
      <c r="H627" s="24"/>
      <c r="I627" s="24"/>
      <c r="J627" s="24"/>
      <c r="K627" s="24"/>
      <c r="L627" s="24"/>
      <c r="M627" s="90"/>
    </row>
    <row r="628">
      <c r="A628" s="24"/>
      <c r="B628" s="24"/>
      <c r="C628" s="24"/>
      <c r="D628" s="24"/>
      <c r="E628" s="24"/>
      <c r="F628" s="24"/>
      <c r="G628" s="24"/>
      <c r="H628" s="24"/>
      <c r="I628" s="24"/>
      <c r="J628" s="24"/>
      <c r="K628" s="24"/>
      <c r="L628" s="24"/>
      <c r="M628" s="90"/>
    </row>
    <row r="629">
      <c r="A629" s="24"/>
      <c r="B629" s="24"/>
      <c r="C629" s="24"/>
      <c r="D629" s="24"/>
      <c r="E629" s="24"/>
      <c r="F629" s="24"/>
      <c r="G629" s="24"/>
      <c r="H629" s="24"/>
      <c r="I629" s="24"/>
      <c r="J629" s="24"/>
      <c r="K629" s="24"/>
      <c r="L629" s="24"/>
      <c r="M629" s="90"/>
    </row>
    <row r="630">
      <c r="A630" s="24"/>
      <c r="B630" s="24"/>
      <c r="C630" s="24"/>
      <c r="D630" s="24"/>
      <c r="E630" s="24"/>
      <c r="F630" s="24"/>
      <c r="G630" s="24"/>
      <c r="H630" s="24"/>
      <c r="I630" s="24"/>
      <c r="J630" s="24"/>
      <c r="K630" s="24"/>
      <c r="L630" s="24"/>
      <c r="M630" s="90"/>
    </row>
    <row r="631">
      <c r="A631" s="24"/>
      <c r="B631" s="24"/>
      <c r="C631" s="24"/>
      <c r="D631" s="24"/>
      <c r="E631" s="24"/>
      <c r="F631" s="24"/>
      <c r="G631" s="24"/>
      <c r="H631" s="24"/>
      <c r="I631" s="24"/>
      <c r="J631" s="24"/>
      <c r="K631" s="24"/>
      <c r="L631" s="24"/>
      <c r="M631" s="90"/>
    </row>
    <row r="632">
      <c r="A632" s="24"/>
      <c r="B632" s="24"/>
      <c r="C632" s="24"/>
      <c r="D632" s="24"/>
      <c r="E632" s="24"/>
      <c r="F632" s="24"/>
      <c r="G632" s="24"/>
      <c r="H632" s="24"/>
      <c r="I632" s="24"/>
      <c r="J632" s="24"/>
      <c r="K632" s="24"/>
      <c r="L632" s="24"/>
      <c r="M632" s="90"/>
    </row>
    <row r="633">
      <c r="A633" s="24"/>
      <c r="B633" s="24"/>
      <c r="C633" s="24"/>
      <c r="D633" s="24"/>
      <c r="E633" s="24"/>
      <c r="F633" s="24"/>
      <c r="G633" s="24"/>
      <c r="H633" s="24"/>
      <c r="I633" s="24"/>
      <c r="J633" s="24"/>
      <c r="K633" s="24"/>
      <c r="L633" s="24"/>
      <c r="M633" s="90"/>
    </row>
    <row r="634">
      <c r="A634" s="24"/>
      <c r="B634" s="24"/>
      <c r="C634" s="24"/>
      <c r="D634" s="24"/>
      <c r="E634" s="24"/>
      <c r="F634" s="24"/>
      <c r="G634" s="24"/>
      <c r="H634" s="24"/>
      <c r="I634" s="24"/>
      <c r="J634" s="24"/>
      <c r="K634" s="24"/>
      <c r="L634" s="24"/>
      <c r="M634" s="90"/>
    </row>
    <row r="635">
      <c r="A635" s="24"/>
      <c r="B635" s="24"/>
      <c r="C635" s="24"/>
      <c r="D635" s="24"/>
      <c r="E635" s="24"/>
      <c r="F635" s="24"/>
      <c r="G635" s="24"/>
      <c r="H635" s="24"/>
      <c r="I635" s="24"/>
      <c r="J635" s="24"/>
      <c r="K635" s="24"/>
      <c r="L635" s="24"/>
      <c r="M635" s="90"/>
    </row>
    <row r="636">
      <c r="A636" s="24"/>
      <c r="B636" s="24"/>
      <c r="C636" s="24"/>
      <c r="D636" s="24"/>
      <c r="E636" s="24"/>
      <c r="F636" s="24"/>
      <c r="G636" s="24"/>
      <c r="H636" s="24"/>
      <c r="I636" s="24"/>
      <c r="J636" s="24"/>
      <c r="K636" s="24"/>
      <c r="L636" s="24"/>
      <c r="M636" s="90"/>
    </row>
    <row r="637">
      <c r="A637" s="24"/>
      <c r="B637" s="24"/>
      <c r="C637" s="24"/>
      <c r="D637" s="24"/>
      <c r="E637" s="24"/>
      <c r="F637" s="24"/>
      <c r="G637" s="24"/>
      <c r="H637" s="24"/>
      <c r="I637" s="24"/>
      <c r="J637" s="24"/>
      <c r="K637" s="24"/>
      <c r="L637" s="24"/>
      <c r="M637" s="90"/>
    </row>
    <row r="638">
      <c r="A638" s="24"/>
      <c r="B638" s="24"/>
      <c r="C638" s="24"/>
      <c r="D638" s="24"/>
      <c r="E638" s="24"/>
      <c r="F638" s="24"/>
      <c r="G638" s="24"/>
      <c r="H638" s="24"/>
      <c r="I638" s="24"/>
      <c r="J638" s="24"/>
      <c r="K638" s="24"/>
      <c r="L638" s="24"/>
      <c r="M638" s="90"/>
    </row>
    <row r="639">
      <c r="A639" s="24"/>
      <c r="B639" s="24"/>
      <c r="C639" s="24"/>
      <c r="D639" s="24"/>
      <c r="E639" s="24"/>
      <c r="F639" s="24"/>
      <c r="G639" s="24"/>
      <c r="H639" s="24"/>
      <c r="I639" s="24"/>
      <c r="J639" s="24"/>
      <c r="K639" s="24"/>
      <c r="L639" s="24"/>
      <c r="M639" s="90"/>
    </row>
    <row r="640">
      <c r="A640" s="24"/>
      <c r="B640" s="24"/>
      <c r="C640" s="24"/>
      <c r="D640" s="24"/>
      <c r="E640" s="24"/>
      <c r="F640" s="24"/>
      <c r="G640" s="24"/>
      <c r="H640" s="24"/>
      <c r="I640" s="24"/>
      <c r="J640" s="24"/>
      <c r="K640" s="24"/>
      <c r="L640" s="24"/>
      <c r="M640" s="90"/>
    </row>
    <row r="641">
      <c r="A641" s="24"/>
      <c r="B641" s="24"/>
      <c r="C641" s="24"/>
      <c r="D641" s="24"/>
      <c r="E641" s="24"/>
      <c r="F641" s="24"/>
      <c r="G641" s="24"/>
      <c r="H641" s="24"/>
      <c r="I641" s="24"/>
      <c r="J641" s="24"/>
      <c r="K641" s="24"/>
      <c r="L641" s="24"/>
      <c r="M641" s="90"/>
    </row>
    <row r="642">
      <c r="A642" s="24"/>
      <c r="B642" s="24"/>
      <c r="C642" s="24"/>
      <c r="D642" s="24"/>
      <c r="E642" s="24"/>
      <c r="F642" s="24"/>
      <c r="G642" s="24"/>
      <c r="H642" s="24"/>
      <c r="I642" s="24"/>
      <c r="J642" s="24"/>
      <c r="K642" s="24"/>
      <c r="L642" s="24"/>
      <c r="M642" s="90"/>
    </row>
    <row r="643">
      <c r="A643" s="24"/>
      <c r="B643" s="24"/>
      <c r="C643" s="24"/>
      <c r="D643" s="24"/>
      <c r="E643" s="24"/>
      <c r="F643" s="24"/>
      <c r="G643" s="24"/>
      <c r="H643" s="24"/>
      <c r="I643" s="24"/>
      <c r="J643" s="24"/>
      <c r="K643" s="24"/>
      <c r="L643" s="24"/>
      <c r="M643" s="90"/>
    </row>
    <row r="644">
      <c r="A644" s="24"/>
      <c r="B644" s="24"/>
      <c r="C644" s="24"/>
      <c r="D644" s="24"/>
      <c r="E644" s="24"/>
      <c r="F644" s="24"/>
      <c r="G644" s="24"/>
      <c r="H644" s="24"/>
      <c r="I644" s="24"/>
      <c r="J644" s="24"/>
      <c r="K644" s="24"/>
      <c r="L644" s="24"/>
      <c r="M644" s="90"/>
    </row>
    <row r="645">
      <c r="A645" s="24"/>
      <c r="B645" s="24"/>
      <c r="C645" s="24"/>
      <c r="D645" s="24"/>
      <c r="E645" s="24"/>
      <c r="F645" s="24"/>
      <c r="G645" s="24"/>
      <c r="H645" s="24"/>
      <c r="I645" s="24"/>
      <c r="J645" s="24"/>
      <c r="K645" s="24"/>
      <c r="L645" s="24"/>
      <c r="M645" s="90"/>
    </row>
    <row r="646">
      <c r="A646" s="24"/>
      <c r="B646" s="24"/>
      <c r="C646" s="24"/>
      <c r="D646" s="24"/>
      <c r="E646" s="24"/>
      <c r="F646" s="24"/>
      <c r="G646" s="24"/>
      <c r="H646" s="24"/>
      <c r="I646" s="24"/>
      <c r="J646" s="24"/>
      <c r="K646" s="24"/>
      <c r="L646" s="24"/>
      <c r="M646" s="90"/>
    </row>
    <row r="647">
      <c r="A647" s="24"/>
      <c r="B647" s="24"/>
      <c r="C647" s="24"/>
      <c r="D647" s="24"/>
      <c r="E647" s="24"/>
      <c r="F647" s="24"/>
      <c r="G647" s="24"/>
      <c r="H647" s="24"/>
      <c r="I647" s="24"/>
      <c r="J647" s="24"/>
      <c r="K647" s="24"/>
      <c r="L647" s="24"/>
      <c r="M647" s="90"/>
    </row>
    <row r="648">
      <c r="A648" s="24"/>
      <c r="B648" s="24"/>
      <c r="C648" s="24"/>
      <c r="D648" s="24"/>
      <c r="E648" s="24"/>
      <c r="F648" s="24"/>
      <c r="G648" s="24"/>
      <c r="H648" s="24"/>
      <c r="I648" s="24"/>
      <c r="J648" s="24"/>
      <c r="K648" s="24"/>
      <c r="L648" s="24"/>
      <c r="M648" s="90"/>
    </row>
    <row r="649">
      <c r="A649" s="24"/>
      <c r="B649" s="24"/>
      <c r="C649" s="24"/>
      <c r="D649" s="24"/>
      <c r="E649" s="24"/>
      <c r="F649" s="24"/>
      <c r="G649" s="24"/>
      <c r="H649" s="24"/>
      <c r="I649" s="24"/>
      <c r="J649" s="24"/>
      <c r="K649" s="24"/>
      <c r="L649" s="24"/>
      <c r="M649" s="90"/>
    </row>
    <row r="650">
      <c r="A650" s="24"/>
      <c r="B650" s="24"/>
      <c r="C650" s="24"/>
      <c r="D650" s="24"/>
      <c r="E650" s="24"/>
      <c r="F650" s="24"/>
      <c r="G650" s="24"/>
      <c r="H650" s="24"/>
      <c r="I650" s="24"/>
      <c r="J650" s="24"/>
      <c r="K650" s="24"/>
      <c r="L650" s="24"/>
      <c r="M650" s="90"/>
    </row>
    <row r="651">
      <c r="A651" s="24"/>
      <c r="B651" s="24"/>
      <c r="C651" s="24"/>
      <c r="D651" s="24"/>
      <c r="E651" s="24"/>
      <c r="F651" s="24"/>
      <c r="G651" s="24"/>
      <c r="H651" s="24"/>
      <c r="I651" s="24"/>
      <c r="J651" s="24"/>
      <c r="K651" s="24"/>
      <c r="L651" s="24"/>
      <c r="M651" s="90"/>
    </row>
    <row r="652">
      <c r="A652" s="24"/>
      <c r="B652" s="24"/>
      <c r="C652" s="24"/>
      <c r="D652" s="24"/>
      <c r="E652" s="24"/>
      <c r="F652" s="24"/>
      <c r="G652" s="24"/>
      <c r="H652" s="24"/>
      <c r="I652" s="24"/>
      <c r="J652" s="24"/>
      <c r="K652" s="24"/>
      <c r="L652" s="24"/>
      <c r="M652" s="90"/>
    </row>
    <row r="653">
      <c r="A653" s="24"/>
      <c r="B653" s="24"/>
      <c r="C653" s="24"/>
      <c r="D653" s="24"/>
      <c r="E653" s="24"/>
      <c r="F653" s="24"/>
      <c r="G653" s="24"/>
      <c r="H653" s="24"/>
      <c r="I653" s="24"/>
      <c r="J653" s="24"/>
      <c r="K653" s="24"/>
      <c r="L653" s="24"/>
      <c r="M653" s="90"/>
    </row>
    <row r="654">
      <c r="A654" s="24"/>
      <c r="B654" s="24"/>
      <c r="C654" s="24"/>
      <c r="D654" s="24"/>
      <c r="E654" s="24"/>
      <c r="F654" s="24"/>
      <c r="G654" s="24"/>
      <c r="H654" s="24"/>
      <c r="I654" s="24"/>
      <c r="J654" s="24"/>
      <c r="K654" s="24"/>
      <c r="L654" s="24"/>
      <c r="M654" s="90"/>
    </row>
    <row r="655">
      <c r="A655" s="24"/>
      <c r="B655" s="24"/>
      <c r="C655" s="24"/>
      <c r="D655" s="24"/>
      <c r="E655" s="24"/>
      <c r="F655" s="24"/>
      <c r="G655" s="24"/>
      <c r="H655" s="24"/>
      <c r="I655" s="24"/>
      <c r="J655" s="24"/>
      <c r="K655" s="24"/>
      <c r="L655" s="24"/>
      <c r="M655" s="90"/>
    </row>
    <row r="656">
      <c r="A656" s="24"/>
      <c r="B656" s="24"/>
      <c r="C656" s="24"/>
      <c r="D656" s="24"/>
      <c r="E656" s="24"/>
      <c r="F656" s="24"/>
      <c r="G656" s="24"/>
      <c r="H656" s="24"/>
      <c r="I656" s="24"/>
      <c r="J656" s="24"/>
      <c r="K656" s="24"/>
      <c r="L656" s="24"/>
      <c r="M656" s="90"/>
    </row>
    <row r="657">
      <c r="A657" s="24"/>
      <c r="B657" s="24"/>
      <c r="C657" s="24"/>
      <c r="D657" s="24"/>
      <c r="E657" s="24"/>
      <c r="F657" s="24"/>
      <c r="G657" s="24"/>
      <c r="H657" s="24"/>
      <c r="I657" s="24"/>
      <c r="J657" s="24"/>
      <c r="K657" s="24"/>
      <c r="L657" s="24"/>
      <c r="M657" s="90"/>
    </row>
    <row r="658">
      <c r="A658" s="24"/>
      <c r="B658" s="24"/>
      <c r="C658" s="24"/>
      <c r="D658" s="24"/>
      <c r="E658" s="24"/>
      <c r="F658" s="24"/>
      <c r="G658" s="24"/>
      <c r="H658" s="24"/>
      <c r="I658" s="24"/>
      <c r="J658" s="24"/>
      <c r="K658" s="24"/>
      <c r="L658" s="24"/>
      <c r="M658" s="90"/>
    </row>
    <row r="659">
      <c r="A659" s="24"/>
      <c r="B659" s="24"/>
      <c r="C659" s="24"/>
      <c r="D659" s="24"/>
      <c r="E659" s="24"/>
      <c r="F659" s="24"/>
      <c r="G659" s="24"/>
      <c r="H659" s="24"/>
      <c r="I659" s="24"/>
      <c r="J659" s="24"/>
      <c r="K659" s="24"/>
      <c r="L659" s="24"/>
      <c r="M659" s="90"/>
    </row>
    <row r="660">
      <c r="A660" s="24"/>
      <c r="B660" s="24"/>
      <c r="C660" s="24"/>
      <c r="D660" s="24"/>
      <c r="E660" s="24"/>
      <c r="F660" s="24"/>
      <c r="G660" s="24"/>
      <c r="H660" s="24"/>
      <c r="I660" s="24"/>
      <c r="J660" s="24"/>
      <c r="K660" s="24"/>
      <c r="L660" s="24"/>
      <c r="M660" s="90"/>
    </row>
    <row r="661">
      <c r="A661" s="24"/>
      <c r="B661" s="24"/>
      <c r="C661" s="24"/>
      <c r="D661" s="24"/>
      <c r="E661" s="24"/>
      <c r="F661" s="24"/>
      <c r="G661" s="24"/>
      <c r="H661" s="24"/>
      <c r="I661" s="24"/>
      <c r="J661" s="24"/>
      <c r="K661" s="24"/>
      <c r="L661" s="24"/>
      <c r="M661" s="90"/>
    </row>
    <row r="662">
      <c r="A662" s="24"/>
      <c r="B662" s="24"/>
      <c r="C662" s="24"/>
      <c r="D662" s="24"/>
      <c r="E662" s="24"/>
      <c r="F662" s="24"/>
      <c r="G662" s="24"/>
      <c r="H662" s="24"/>
      <c r="I662" s="24"/>
      <c r="J662" s="24"/>
      <c r="K662" s="24"/>
      <c r="L662" s="24"/>
      <c r="M662" s="90"/>
    </row>
    <row r="663">
      <c r="A663" s="24"/>
      <c r="B663" s="24"/>
      <c r="C663" s="24"/>
      <c r="D663" s="24"/>
      <c r="E663" s="24"/>
      <c r="F663" s="24"/>
      <c r="G663" s="24"/>
      <c r="H663" s="24"/>
      <c r="I663" s="24"/>
      <c r="J663" s="24"/>
      <c r="K663" s="24"/>
      <c r="L663" s="24"/>
      <c r="M663" s="90"/>
    </row>
    <row r="664">
      <c r="A664" s="24"/>
      <c r="B664" s="24"/>
      <c r="C664" s="24"/>
      <c r="D664" s="24"/>
      <c r="E664" s="24"/>
      <c r="F664" s="24"/>
      <c r="G664" s="24"/>
      <c r="H664" s="24"/>
      <c r="I664" s="24"/>
      <c r="J664" s="24"/>
      <c r="K664" s="24"/>
      <c r="L664" s="24"/>
      <c r="M664" s="90"/>
    </row>
    <row r="665">
      <c r="A665" s="24"/>
      <c r="B665" s="24"/>
      <c r="C665" s="24"/>
      <c r="D665" s="24"/>
      <c r="E665" s="24"/>
      <c r="F665" s="24"/>
      <c r="G665" s="24"/>
      <c r="H665" s="24"/>
      <c r="I665" s="24"/>
      <c r="J665" s="24"/>
      <c r="K665" s="24"/>
      <c r="L665" s="24"/>
      <c r="M665" s="90"/>
    </row>
    <row r="666">
      <c r="A666" s="24"/>
      <c r="B666" s="24"/>
      <c r="C666" s="24"/>
      <c r="D666" s="24"/>
      <c r="E666" s="24"/>
      <c r="F666" s="24"/>
      <c r="G666" s="24"/>
      <c r="H666" s="24"/>
      <c r="I666" s="24"/>
      <c r="J666" s="24"/>
      <c r="K666" s="24"/>
      <c r="L666" s="24"/>
      <c r="M666" s="90"/>
    </row>
    <row r="667">
      <c r="A667" s="24"/>
      <c r="B667" s="24"/>
      <c r="C667" s="24"/>
      <c r="D667" s="24"/>
      <c r="E667" s="24"/>
      <c r="F667" s="24"/>
      <c r="G667" s="24"/>
      <c r="H667" s="24"/>
      <c r="I667" s="24"/>
      <c r="J667" s="24"/>
      <c r="K667" s="24"/>
      <c r="L667" s="24"/>
      <c r="M667" s="90"/>
    </row>
    <row r="668">
      <c r="A668" s="24"/>
      <c r="B668" s="24"/>
      <c r="C668" s="24"/>
      <c r="D668" s="24"/>
      <c r="E668" s="24"/>
      <c r="F668" s="24"/>
      <c r="G668" s="24"/>
      <c r="H668" s="24"/>
      <c r="I668" s="24"/>
      <c r="J668" s="24"/>
      <c r="K668" s="24"/>
      <c r="L668" s="24"/>
      <c r="M668" s="90"/>
    </row>
    <row r="669">
      <c r="A669" s="24"/>
      <c r="B669" s="24"/>
      <c r="C669" s="24"/>
      <c r="D669" s="24"/>
      <c r="E669" s="24"/>
      <c r="F669" s="24"/>
      <c r="G669" s="24"/>
      <c r="H669" s="24"/>
      <c r="I669" s="24"/>
      <c r="J669" s="24"/>
      <c r="K669" s="24"/>
      <c r="L669" s="24"/>
      <c r="M669" s="90"/>
    </row>
    <row r="670">
      <c r="A670" s="24"/>
      <c r="B670" s="24"/>
      <c r="C670" s="24"/>
      <c r="D670" s="24"/>
      <c r="E670" s="24"/>
      <c r="F670" s="24"/>
      <c r="G670" s="24"/>
      <c r="H670" s="24"/>
      <c r="I670" s="24"/>
      <c r="J670" s="24"/>
      <c r="K670" s="24"/>
      <c r="L670" s="24"/>
      <c r="M670" s="90"/>
    </row>
    <row r="671">
      <c r="A671" s="24"/>
      <c r="B671" s="24"/>
      <c r="C671" s="24"/>
      <c r="D671" s="24"/>
      <c r="E671" s="24"/>
      <c r="F671" s="24"/>
      <c r="G671" s="24"/>
      <c r="H671" s="24"/>
      <c r="I671" s="24"/>
      <c r="J671" s="24"/>
      <c r="K671" s="24"/>
      <c r="L671" s="24"/>
      <c r="M671" s="90"/>
    </row>
    <row r="672">
      <c r="A672" s="24"/>
      <c r="B672" s="24"/>
      <c r="C672" s="24"/>
      <c r="D672" s="24"/>
      <c r="E672" s="24"/>
      <c r="F672" s="24"/>
      <c r="G672" s="24"/>
      <c r="H672" s="24"/>
      <c r="I672" s="24"/>
      <c r="J672" s="24"/>
      <c r="K672" s="24"/>
      <c r="L672" s="24"/>
      <c r="M672" s="90"/>
    </row>
    <row r="673">
      <c r="A673" s="24"/>
      <c r="B673" s="24"/>
      <c r="C673" s="24"/>
      <c r="D673" s="24"/>
      <c r="E673" s="24"/>
      <c r="F673" s="24"/>
      <c r="G673" s="24"/>
      <c r="H673" s="24"/>
      <c r="I673" s="24"/>
      <c r="J673" s="24"/>
      <c r="K673" s="24"/>
      <c r="L673" s="24"/>
      <c r="M673" s="90"/>
    </row>
    <row r="674">
      <c r="A674" s="24"/>
      <c r="B674" s="24"/>
      <c r="C674" s="24"/>
      <c r="D674" s="24"/>
      <c r="E674" s="24"/>
      <c r="F674" s="24"/>
      <c r="G674" s="24"/>
      <c r="H674" s="24"/>
      <c r="I674" s="24"/>
      <c r="J674" s="24"/>
      <c r="K674" s="24"/>
      <c r="L674" s="24"/>
      <c r="M674" s="90"/>
    </row>
    <row r="675">
      <c r="A675" s="24"/>
      <c r="B675" s="24"/>
      <c r="C675" s="24"/>
      <c r="D675" s="24"/>
      <c r="E675" s="24"/>
      <c r="F675" s="24"/>
      <c r="G675" s="24"/>
      <c r="H675" s="24"/>
      <c r="I675" s="24"/>
      <c r="J675" s="24"/>
      <c r="K675" s="24"/>
      <c r="L675" s="24"/>
      <c r="M675" s="90"/>
    </row>
    <row r="676">
      <c r="A676" s="24"/>
      <c r="B676" s="24"/>
      <c r="C676" s="24"/>
      <c r="D676" s="24"/>
      <c r="E676" s="24"/>
      <c r="F676" s="24"/>
      <c r="G676" s="24"/>
      <c r="H676" s="24"/>
      <c r="I676" s="24"/>
      <c r="J676" s="24"/>
      <c r="K676" s="24"/>
      <c r="L676" s="24"/>
      <c r="M676" s="90"/>
    </row>
    <row r="677">
      <c r="A677" s="24"/>
      <c r="B677" s="24"/>
      <c r="C677" s="24"/>
      <c r="D677" s="24"/>
      <c r="E677" s="24"/>
      <c r="F677" s="24"/>
      <c r="G677" s="24"/>
      <c r="H677" s="24"/>
      <c r="I677" s="24"/>
      <c r="J677" s="24"/>
      <c r="K677" s="24"/>
      <c r="L677" s="24"/>
      <c r="M677" s="90"/>
    </row>
    <row r="678">
      <c r="A678" s="24"/>
      <c r="B678" s="24"/>
      <c r="C678" s="24"/>
      <c r="D678" s="24"/>
      <c r="E678" s="24"/>
      <c r="F678" s="24"/>
      <c r="G678" s="24"/>
      <c r="H678" s="24"/>
      <c r="I678" s="24"/>
      <c r="J678" s="24"/>
      <c r="K678" s="24"/>
      <c r="L678" s="24"/>
      <c r="M678" s="90"/>
    </row>
    <row r="679">
      <c r="A679" s="24"/>
      <c r="B679" s="24"/>
      <c r="C679" s="24"/>
      <c r="D679" s="24"/>
      <c r="E679" s="24"/>
      <c r="F679" s="24"/>
      <c r="G679" s="24"/>
      <c r="H679" s="24"/>
      <c r="I679" s="24"/>
      <c r="J679" s="24"/>
      <c r="K679" s="24"/>
      <c r="L679" s="24"/>
      <c r="M679" s="90"/>
    </row>
    <row r="680">
      <c r="A680" s="24"/>
      <c r="B680" s="24"/>
      <c r="C680" s="24"/>
      <c r="D680" s="24"/>
      <c r="E680" s="24"/>
      <c r="F680" s="24"/>
      <c r="G680" s="24"/>
      <c r="H680" s="24"/>
      <c r="I680" s="24"/>
      <c r="J680" s="24"/>
      <c r="K680" s="24"/>
      <c r="L680" s="24"/>
      <c r="M680" s="90"/>
    </row>
    <row r="681">
      <c r="A681" s="24"/>
      <c r="B681" s="24"/>
      <c r="C681" s="24"/>
      <c r="D681" s="24"/>
      <c r="E681" s="24"/>
      <c r="F681" s="24"/>
      <c r="G681" s="24"/>
      <c r="H681" s="24"/>
      <c r="I681" s="24"/>
      <c r="J681" s="24"/>
      <c r="K681" s="24"/>
      <c r="L681" s="24"/>
      <c r="M681" s="90"/>
    </row>
    <row r="682">
      <c r="A682" s="24"/>
      <c r="B682" s="24"/>
      <c r="C682" s="24"/>
      <c r="D682" s="24"/>
      <c r="E682" s="24"/>
      <c r="F682" s="24"/>
      <c r="G682" s="24"/>
      <c r="H682" s="24"/>
      <c r="I682" s="24"/>
      <c r="J682" s="24"/>
      <c r="K682" s="24"/>
      <c r="L682" s="24"/>
      <c r="M682" s="90"/>
    </row>
    <row r="683">
      <c r="A683" s="24"/>
      <c r="B683" s="24"/>
      <c r="C683" s="24"/>
      <c r="D683" s="24"/>
      <c r="E683" s="24"/>
      <c r="F683" s="24"/>
      <c r="G683" s="24"/>
      <c r="H683" s="24"/>
      <c r="I683" s="24"/>
      <c r="J683" s="24"/>
      <c r="K683" s="24"/>
      <c r="L683" s="24"/>
      <c r="M683" s="90"/>
    </row>
    <row r="684">
      <c r="A684" s="24"/>
      <c r="B684" s="24"/>
      <c r="C684" s="24"/>
      <c r="D684" s="24"/>
      <c r="E684" s="24"/>
      <c r="F684" s="24"/>
      <c r="G684" s="24"/>
      <c r="H684" s="24"/>
      <c r="I684" s="24"/>
      <c r="J684" s="24"/>
      <c r="K684" s="24"/>
      <c r="L684" s="24"/>
      <c r="M684" s="90"/>
    </row>
    <row r="685">
      <c r="A685" s="24"/>
      <c r="B685" s="24"/>
      <c r="C685" s="24"/>
      <c r="D685" s="24"/>
      <c r="E685" s="24"/>
      <c r="F685" s="24"/>
      <c r="G685" s="24"/>
      <c r="H685" s="24"/>
      <c r="I685" s="24"/>
      <c r="J685" s="24"/>
      <c r="K685" s="24"/>
      <c r="L685" s="24"/>
      <c r="M685" s="90"/>
    </row>
    <row r="686">
      <c r="A686" s="24"/>
      <c r="B686" s="24"/>
      <c r="C686" s="24"/>
      <c r="D686" s="24"/>
      <c r="E686" s="24"/>
      <c r="F686" s="24"/>
      <c r="G686" s="24"/>
      <c r="H686" s="24"/>
      <c r="I686" s="24"/>
      <c r="J686" s="24"/>
      <c r="K686" s="24"/>
      <c r="L686" s="24"/>
      <c r="M686" s="90"/>
    </row>
    <row r="687">
      <c r="A687" s="24"/>
      <c r="B687" s="24"/>
      <c r="C687" s="24"/>
      <c r="D687" s="24"/>
      <c r="E687" s="24"/>
      <c r="F687" s="24"/>
      <c r="G687" s="24"/>
      <c r="H687" s="24"/>
      <c r="I687" s="24"/>
      <c r="J687" s="24"/>
      <c r="K687" s="24"/>
      <c r="L687" s="24"/>
      <c r="M687" s="90"/>
    </row>
    <row r="688">
      <c r="A688" s="24"/>
      <c r="B688" s="24"/>
      <c r="C688" s="24"/>
      <c r="D688" s="24"/>
      <c r="E688" s="24"/>
      <c r="F688" s="24"/>
      <c r="G688" s="24"/>
      <c r="H688" s="24"/>
      <c r="I688" s="24"/>
      <c r="J688" s="24"/>
      <c r="K688" s="24"/>
      <c r="L688" s="24"/>
      <c r="M688" s="90"/>
    </row>
    <row r="689">
      <c r="A689" s="24"/>
      <c r="B689" s="24"/>
      <c r="C689" s="24"/>
      <c r="D689" s="24"/>
      <c r="E689" s="24"/>
      <c r="F689" s="24"/>
      <c r="G689" s="24"/>
      <c r="H689" s="24"/>
      <c r="I689" s="24"/>
      <c r="J689" s="24"/>
      <c r="K689" s="24"/>
      <c r="L689" s="24"/>
      <c r="M689" s="90"/>
    </row>
    <row r="690">
      <c r="A690" s="24"/>
      <c r="B690" s="24"/>
      <c r="C690" s="24"/>
      <c r="D690" s="24"/>
      <c r="E690" s="24"/>
      <c r="F690" s="24"/>
      <c r="G690" s="24"/>
      <c r="H690" s="24"/>
      <c r="I690" s="24"/>
      <c r="J690" s="24"/>
      <c r="K690" s="24"/>
      <c r="L690" s="24"/>
      <c r="M690" s="90"/>
    </row>
    <row r="691">
      <c r="A691" s="24"/>
      <c r="B691" s="24"/>
      <c r="C691" s="24"/>
      <c r="D691" s="24"/>
      <c r="E691" s="24"/>
      <c r="F691" s="24"/>
      <c r="G691" s="24"/>
      <c r="H691" s="24"/>
      <c r="I691" s="24"/>
      <c r="J691" s="24"/>
      <c r="K691" s="24"/>
      <c r="L691" s="24"/>
      <c r="M691" s="90"/>
    </row>
    <row r="692">
      <c r="A692" s="24"/>
      <c r="B692" s="24"/>
      <c r="C692" s="24"/>
      <c r="D692" s="24"/>
      <c r="E692" s="24"/>
      <c r="F692" s="24"/>
      <c r="G692" s="24"/>
      <c r="H692" s="24"/>
      <c r="I692" s="24"/>
      <c r="J692" s="24"/>
      <c r="K692" s="24"/>
      <c r="L692" s="24"/>
      <c r="M692" s="90"/>
    </row>
    <row r="693">
      <c r="A693" s="24"/>
      <c r="B693" s="24"/>
      <c r="C693" s="24"/>
      <c r="D693" s="24"/>
      <c r="E693" s="24"/>
      <c r="F693" s="24"/>
      <c r="G693" s="24"/>
      <c r="H693" s="24"/>
      <c r="I693" s="24"/>
      <c r="J693" s="24"/>
      <c r="K693" s="24"/>
      <c r="L693" s="24"/>
      <c r="M693" s="90"/>
    </row>
    <row r="694">
      <c r="A694" s="24"/>
      <c r="B694" s="24"/>
      <c r="C694" s="24"/>
      <c r="D694" s="24"/>
      <c r="E694" s="24"/>
      <c r="F694" s="24"/>
      <c r="G694" s="24"/>
      <c r="H694" s="24"/>
      <c r="I694" s="24"/>
      <c r="J694" s="24"/>
      <c r="K694" s="24"/>
      <c r="L694" s="24"/>
      <c r="M694" s="90"/>
    </row>
    <row r="695">
      <c r="A695" s="24"/>
      <c r="B695" s="24"/>
      <c r="C695" s="24"/>
      <c r="D695" s="24"/>
      <c r="E695" s="24"/>
      <c r="F695" s="24"/>
      <c r="G695" s="24"/>
      <c r="H695" s="24"/>
      <c r="I695" s="24"/>
      <c r="J695" s="24"/>
      <c r="K695" s="24"/>
      <c r="L695" s="24"/>
      <c r="M695" s="90"/>
    </row>
    <row r="696">
      <c r="A696" s="24"/>
      <c r="B696" s="24"/>
      <c r="C696" s="24"/>
      <c r="D696" s="24"/>
      <c r="E696" s="24"/>
      <c r="F696" s="24"/>
      <c r="G696" s="24"/>
      <c r="H696" s="24"/>
      <c r="I696" s="24"/>
      <c r="J696" s="24"/>
      <c r="K696" s="24"/>
      <c r="L696" s="24"/>
      <c r="M696" s="90"/>
    </row>
    <row r="697">
      <c r="A697" s="24"/>
      <c r="B697" s="24"/>
      <c r="C697" s="24"/>
      <c r="D697" s="24"/>
      <c r="E697" s="24"/>
      <c r="F697" s="24"/>
      <c r="G697" s="24"/>
      <c r="H697" s="24"/>
      <c r="I697" s="24"/>
      <c r="J697" s="24"/>
      <c r="K697" s="24"/>
      <c r="L697" s="24"/>
      <c r="M697" s="90"/>
    </row>
    <row r="698">
      <c r="A698" s="24"/>
      <c r="B698" s="24"/>
      <c r="C698" s="24"/>
      <c r="D698" s="24"/>
      <c r="E698" s="24"/>
      <c r="F698" s="24"/>
      <c r="G698" s="24"/>
      <c r="H698" s="24"/>
      <c r="I698" s="24"/>
      <c r="J698" s="24"/>
      <c r="K698" s="24"/>
      <c r="L698" s="24"/>
      <c r="M698" s="90"/>
    </row>
    <row r="699">
      <c r="A699" s="24"/>
      <c r="B699" s="24"/>
      <c r="C699" s="24"/>
      <c r="D699" s="24"/>
      <c r="E699" s="24"/>
      <c r="F699" s="24"/>
      <c r="G699" s="24"/>
      <c r="H699" s="24"/>
      <c r="I699" s="24"/>
      <c r="J699" s="24"/>
      <c r="K699" s="24"/>
      <c r="L699" s="24"/>
      <c r="M699" s="90"/>
    </row>
    <row r="700">
      <c r="A700" s="24"/>
      <c r="B700" s="24"/>
      <c r="C700" s="24"/>
      <c r="D700" s="24"/>
      <c r="E700" s="24"/>
      <c r="F700" s="24"/>
      <c r="G700" s="24"/>
      <c r="H700" s="24"/>
      <c r="I700" s="24"/>
      <c r="J700" s="24"/>
      <c r="K700" s="24"/>
      <c r="L700" s="24"/>
      <c r="M700" s="90"/>
    </row>
    <row r="701">
      <c r="A701" s="24"/>
      <c r="B701" s="24"/>
      <c r="C701" s="24"/>
      <c r="D701" s="24"/>
      <c r="E701" s="24"/>
      <c r="F701" s="24"/>
      <c r="G701" s="24"/>
      <c r="H701" s="24"/>
      <c r="I701" s="24"/>
      <c r="J701" s="24"/>
      <c r="K701" s="24"/>
      <c r="L701" s="24"/>
      <c r="M701" s="90"/>
    </row>
    <row r="702">
      <c r="A702" s="24"/>
      <c r="B702" s="24"/>
      <c r="C702" s="24"/>
      <c r="D702" s="24"/>
      <c r="E702" s="24"/>
      <c r="F702" s="24"/>
      <c r="G702" s="24"/>
      <c r="H702" s="24"/>
      <c r="I702" s="24"/>
      <c r="J702" s="24"/>
      <c r="K702" s="24"/>
      <c r="L702" s="24"/>
      <c r="M702" s="90"/>
    </row>
    <row r="703">
      <c r="A703" s="24"/>
      <c r="B703" s="24"/>
      <c r="C703" s="24"/>
      <c r="D703" s="24"/>
      <c r="E703" s="24"/>
      <c r="F703" s="24"/>
      <c r="G703" s="24"/>
      <c r="H703" s="24"/>
      <c r="I703" s="24"/>
      <c r="J703" s="24"/>
      <c r="K703" s="24"/>
      <c r="L703" s="24"/>
      <c r="M703" s="90"/>
    </row>
    <row r="704">
      <c r="A704" s="24"/>
      <c r="B704" s="24"/>
      <c r="C704" s="24"/>
      <c r="D704" s="24"/>
      <c r="E704" s="24"/>
      <c r="F704" s="24"/>
      <c r="G704" s="24"/>
      <c r="H704" s="24"/>
      <c r="I704" s="24"/>
      <c r="J704" s="24"/>
      <c r="K704" s="24"/>
      <c r="L704" s="24"/>
      <c r="M704" s="90"/>
    </row>
    <row r="705">
      <c r="A705" s="24"/>
      <c r="B705" s="24"/>
      <c r="C705" s="24"/>
      <c r="D705" s="24"/>
      <c r="E705" s="24"/>
      <c r="F705" s="24"/>
      <c r="G705" s="24"/>
      <c r="H705" s="24"/>
      <c r="I705" s="24"/>
      <c r="J705" s="24"/>
      <c r="K705" s="24"/>
      <c r="L705" s="24"/>
      <c r="M705" s="90"/>
    </row>
    <row r="706">
      <c r="A706" s="24"/>
      <c r="B706" s="24"/>
      <c r="C706" s="24"/>
      <c r="D706" s="24"/>
      <c r="E706" s="24"/>
      <c r="F706" s="24"/>
      <c r="G706" s="24"/>
      <c r="H706" s="24"/>
      <c r="I706" s="24"/>
      <c r="J706" s="24"/>
      <c r="K706" s="24"/>
      <c r="L706" s="24"/>
      <c r="M706" s="90"/>
    </row>
    <row r="707">
      <c r="A707" s="24"/>
      <c r="B707" s="24"/>
      <c r="C707" s="24"/>
      <c r="D707" s="24"/>
      <c r="E707" s="24"/>
      <c r="F707" s="24"/>
      <c r="G707" s="24"/>
      <c r="H707" s="24"/>
      <c r="I707" s="24"/>
      <c r="J707" s="24"/>
      <c r="K707" s="24"/>
      <c r="L707" s="24"/>
      <c r="M707" s="90"/>
    </row>
    <row r="708">
      <c r="A708" s="24"/>
      <c r="B708" s="24"/>
      <c r="C708" s="24"/>
      <c r="D708" s="24"/>
      <c r="E708" s="24"/>
      <c r="F708" s="24"/>
      <c r="G708" s="24"/>
      <c r="H708" s="24"/>
      <c r="I708" s="24"/>
      <c r="J708" s="24"/>
      <c r="K708" s="24"/>
      <c r="L708" s="24"/>
      <c r="M708" s="90"/>
    </row>
    <row r="709">
      <c r="A709" s="24"/>
      <c r="B709" s="24"/>
      <c r="C709" s="24"/>
      <c r="D709" s="24"/>
      <c r="E709" s="24"/>
      <c r="F709" s="24"/>
      <c r="G709" s="24"/>
      <c r="H709" s="24"/>
      <c r="I709" s="24"/>
      <c r="J709" s="24"/>
      <c r="K709" s="24"/>
      <c r="L709" s="24"/>
      <c r="M709" s="90"/>
    </row>
    <row r="710">
      <c r="A710" s="24"/>
      <c r="B710" s="24"/>
      <c r="C710" s="24"/>
      <c r="D710" s="24"/>
      <c r="E710" s="24"/>
      <c r="F710" s="24"/>
      <c r="G710" s="24"/>
      <c r="H710" s="24"/>
      <c r="I710" s="24"/>
      <c r="J710" s="24"/>
      <c r="K710" s="24"/>
      <c r="L710" s="24"/>
      <c r="M710" s="90"/>
    </row>
    <row r="711">
      <c r="A711" s="24"/>
      <c r="B711" s="24"/>
      <c r="C711" s="24"/>
      <c r="D711" s="24"/>
      <c r="E711" s="24"/>
      <c r="F711" s="24"/>
      <c r="G711" s="24"/>
      <c r="H711" s="24"/>
      <c r="I711" s="24"/>
      <c r="J711" s="24"/>
      <c r="K711" s="24"/>
      <c r="L711" s="24"/>
      <c r="M711" s="90"/>
    </row>
    <row r="712">
      <c r="A712" s="24"/>
      <c r="B712" s="24"/>
      <c r="C712" s="24"/>
      <c r="D712" s="24"/>
      <c r="E712" s="24"/>
      <c r="F712" s="24"/>
      <c r="G712" s="24"/>
      <c r="H712" s="24"/>
      <c r="I712" s="24"/>
      <c r="J712" s="24"/>
      <c r="K712" s="24"/>
      <c r="L712" s="24"/>
      <c r="M712" s="90"/>
    </row>
    <row r="713">
      <c r="A713" s="24"/>
      <c r="B713" s="24"/>
      <c r="C713" s="24"/>
      <c r="D713" s="24"/>
      <c r="E713" s="24"/>
      <c r="F713" s="24"/>
      <c r="G713" s="24"/>
      <c r="H713" s="24"/>
      <c r="I713" s="24"/>
      <c r="J713" s="24"/>
      <c r="K713" s="24"/>
      <c r="L713" s="24"/>
      <c r="M713" s="90"/>
    </row>
    <row r="714">
      <c r="A714" s="24"/>
      <c r="B714" s="24"/>
      <c r="C714" s="24"/>
      <c r="D714" s="24"/>
      <c r="E714" s="24"/>
      <c r="F714" s="24"/>
      <c r="G714" s="24"/>
      <c r="H714" s="24"/>
      <c r="I714" s="24"/>
      <c r="J714" s="24"/>
      <c r="K714" s="24"/>
      <c r="L714" s="24"/>
      <c r="M714" s="90"/>
    </row>
    <row r="715">
      <c r="A715" s="24"/>
      <c r="B715" s="24"/>
      <c r="C715" s="24"/>
      <c r="D715" s="24"/>
      <c r="E715" s="24"/>
      <c r="F715" s="24"/>
      <c r="G715" s="24"/>
      <c r="H715" s="24"/>
      <c r="I715" s="24"/>
      <c r="J715" s="24"/>
      <c r="K715" s="24"/>
      <c r="L715" s="24"/>
      <c r="M715" s="90"/>
    </row>
    <row r="716">
      <c r="A716" s="24"/>
      <c r="B716" s="24"/>
      <c r="C716" s="24"/>
      <c r="D716" s="24"/>
      <c r="E716" s="24"/>
      <c r="F716" s="24"/>
      <c r="G716" s="24"/>
      <c r="H716" s="24"/>
      <c r="I716" s="24"/>
      <c r="J716" s="24"/>
      <c r="K716" s="24"/>
      <c r="L716" s="24"/>
      <c r="M716" s="90"/>
    </row>
    <row r="717">
      <c r="A717" s="24"/>
      <c r="B717" s="24"/>
      <c r="C717" s="24"/>
      <c r="D717" s="24"/>
      <c r="E717" s="24"/>
      <c r="F717" s="24"/>
      <c r="G717" s="24"/>
      <c r="H717" s="24"/>
      <c r="I717" s="24"/>
      <c r="J717" s="24"/>
      <c r="K717" s="24"/>
      <c r="L717" s="24"/>
      <c r="M717" s="90"/>
    </row>
    <row r="718">
      <c r="A718" s="24"/>
      <c r="B718" s="24"/>
      <c r="C718" s="24"/>
      <c r="D718" s="24"/>
      <c r="E718" s="24"/>
      <c r="F718" s="24"/>
      <c r="G718" s="24"/>
      <c r="H718" s="24"/>
      <c r="I718" s="24"/>
      <c r="J718" s="24"/>
      <c r="K718" s="24"/>
      <c r="L718" s="24"/>
      <c r="M718" s="90"/>
    </row>
    <row r="719">
      <c r="A719" s="24"/>
      <c r="B719" s="24"/>
      <c r="C719" s="24"/>
      <c r="D719" s="24"/>
      <c r="E719" s="24"/>
      <c r="F719" s="24"/>
      <c r="G719" s="24"/>
      <c r="H719" s="24"/>
      <c r="I719" s="24"/>
      <c r="J719" s="24"/>
      <c r="K719" s="24"/>
      <c r="L719" s="24"/>
      <c r="M719" s="90"/>
    </row>
    <row r="720">
      <c r="A720" s="24"/>
      <c r="B720" s="24"/>
      <c r="C720" s="24"/>
      <c r="D720" s="24"/>
      <c r="E720" s="24"/>
      <c r="F720" s="24"/>
      <c r="G720" s="24"/>
      <c r="H720" s="24"/>
      <c r="I720" s="24"/>
      <c r="J720" s="24"/>
      <c r="K720" s="24"/>
      <c r="L720" s="24"/>
      <c r="M720" s="90"/>
    </row>
    <row r="721">
      <c r="A721" s="24"/>
      <c r="B721" s="24"/>
      <c r="C721" s="24"/>
      <c r="D721" s="24"/>
      <c r="E721" s="24"/>
      <c r="F721" s="24"/>
      <c r="G721" s="24"/>
      <c r="H721" s="24"/>
      <c r="I721" s="24"/>
      <c r="J721" s="24"/>
      <c r="K721" s="24"/>
      <c r="L721" s="24"/>
      <c r="M721" s="90"/>
    </row>
    <row r="722">
      <c r="A722" s="24"/>
      <c r="B722" s="24"/>
      <c r="C722" s="24"/>
      <c r="D722" s="24"/>
      <c r="E722" s="24"/>
      <c r="F722" s="24"/>
      <c r="G722" s="24"/>
      <c r="H722" s="24"/>
      <c r="I722" s="24"/>
      <c r="J722" s="24"/>
      <c r="K722" s="24"/>
      <c r="L722" s="24"/>
      <c r="M722" s="90"/>
    </row>
    <row r="723">
      <c r="A723" s="24"/>
      <c r="B723" s="24"/>
      <c r="C723" s="24"/>
      <c r="D723" s="24"/>
      <c r="E723" s="24"/>
      <c r="F723" s="24"/>
      <c r="G723" s="24"/>
      <c r="H723" s="24"/>
      <c r="I723" s="24"/>
      <c r="J723" s="24"/>
      <c r="K723" s="24"/>
      <c r="L723" s="24"/>
      <c r="M723" s="90"/>
    </row>
    <row r="724">
      <c r="A724" s="24"/>
      <c r="B724" s="24"/>
      <c r="C724" s="24"/>
      <c r="D724" s="24"/>
      <c r="E724" s="24"/>
      <c r="F724" s="24"/>
      <c r="G724" s="24"/>
      <c r="H724" s="24"/>
      <c r="I724" s="24"/>
      <c r="J724" s="24"/>
      <c r="K724" s="24"/>
      <c r="L724" s="24"/>
      <c r="M724" s="90"/>
    </row>
    <row r="725">
      <c r="A725" s="24"/>
      <c r="B725" s="24"/>
      <c r="C725" s="24"/>
      <c r="D725" s="24"/>
      <c r="E725" s="24"/>
      <c r="F725" s="24"/>
      <c r="G725" s="24"/>
      <c r="H725" s="24"/>
      <c r="I725" s="24"/>
      <c r="J725" s="24"/>
      <c r="K725" s="24"/>
      <c r="L725" s="24"/>
      <c r="M725" s="90"/>
    </row>
    <row r="726">
      <c r="A726" s="24"/>
      <c r="B726" s="24"/>
      <c r="C726" s="24"/>
      <c r="D726" s="24"/>
      <c r="E726" s="24"/>
      <c r="F726" s="24"/>
      <c r="G726" s="24"/>
      <c r="H726" s="24"/>
      <c r="I726" s="24"/>
      <c r="J726" s="24"/>
      <c r="K726" s="24"/>
      <c r="L726" s="24"/>
      <c r="M726" s="90"/>
    </row>
    <row r="727">
      <c r="A727" s="24"/>
      <c r="B727" s="24"/>
      <c r="C727" s="24"/>
      <c r="D727" s="24"/>
      <c r="E727" s="24"/>
      <c r="F727" s="24"/>
      <c r="G727" s="24"/>
      <c r="H727" s="24"/>
      <c r="I727" s="24"/>
      <c r="J727" s="24"/>
      <c r="K727" s="24"/>
      <c r="L727" s="24"/>
      <c r="M727" s="90"/>
    </row>
    <row r="728">
      <c r="A728" s="24"/>
      <c r="B728" s="24"/>
      <c r="C728" s="24"/>
      <c r="D728" s="24"/>
      <c r="E728" s="24"/>
      <c r="F728" s="24"/>
      <c r="G728" s="24"/>
      <c r="H728" s="24"/>
      <c r="I728" s="24"/>
      <c r="J728" s="24"/>
      <c r="K728" s="24"/>
      <c r="L728" s="24"/>
      <c r="M728" s="90"/>
    </row>
    <row r="729">
      <c r="A729" s="24"/>
      <c r="B729" s="24"/>
      <c r="C729" s="24"/>
      <c r="D729" s="24"/>
      <c r="E729" s="24"/>
      <c r="F729" s="24"/>
      <c r="G729" s="24"/>
      <c r="H729" s="24"/>
      <c r="I729" s="24"/>
      <c r="J729" s="24"/>
      <c r="K729" s="24"/>
      <c r="L729" s="24"/>
      <c r="M729" s="90"/>
    </row>
    <row r="730">
      <c r="A730" s="24"/>
      <c r="B730" s="24"/>
      <c r="C730" s="24"/>
      <c r="D730" s="24"/>
      <c r="E730" s="24"/>
      <c r="F730" s="24"/>
      <c r="G730" s="24"/>
      <c r="H730" s="24"/>
      <c r="I730" s="24"/>
      <c r="J730" s="24"/>
      <c r="K730" s="24"/>
      <c r="L730" s="24"/>
      <c r="M730" s="90"/>
    </row>
    <row r="731">
      <c r="A731" s="24"/>
      <c r="B731" s="24"/>
      <c r="C731" s="24"/>
      <c r="D731" s="24"/>
      <c r="E731" s="24"/>
      <c r="F731" s="24"/>
      <c r="G731" s="24"/>
      <c r="H731" s="24"/>
      <c r="I731" s="24"/>
      <c r="J731" s="24"/>
      <c r="K731" s="24"/>
      <c r="L731" s="24"/>
      <c r="M731" s="90"/>
    </row>
    <row r="732">
      <c r="A732" s="24"/>
      <c r="B732" s="24"/>
      <c r="C732" s="24"/>
      <c r="D732" s="24"/>
      <c r="E732" s="24"/>
      <c r="F732" s="24"/>
      <c r="G732" s="24"/>
      <c r="H732" s="24"/>
      <c r="I732" s="24"/>
      <c r="J732" s="24"/>
      <c r="K732" s="24"/>
      <c r="L732" s="24"/>
      <c r="M732" s="90"/>
    </row>
    <row r="733">
      <c r="A733" s="24"/>
      <c r="B733" s="24"/>
      <c r="C733" s="24"/>
      <c r="D733" s="24"/>
      <c r="E733" s="24"/>
      <c r="F733" s="24"/>
      <c r="G733" s="24"/>
      <c r="H733" s="24"/>
      <c r="I733" s="24"/>
      <c r="J733" s="24"/>
      <c r="K733" s="24"/>
      <c r="L733" s="24"/>
      <c r="M733" s="90"/>
    </row>
    <row r="734">
      <c r="A734" s="24"/>
      <c r="B734" s="24"/>
      <c r="C734" s="24"/>
      <c r="D734" s="24"/>
      <c r="E734" s="24"/>
      <c r="F734" s="24"/>
      <c r="G734" s="24"/>
      <c r="H734" s="24"/>
      <c r="I734" s="24"/>
      <c r="J734" s="24"/>
      <c r="K734" s="24"/>
      <c r="L734" s="24"/>
      <c r="M734" s="90"/>
    </row>
    <row r="735">
      <c r="A735" s="24"/>
      <c r="B735" s="24"/>
      <c r="C735" s="24"/>
      <c r="D735" s="24"/>
      <c r="E735" s="24"/>
      <c r="F735" s="24"/>
      <c r="G735" s="24"/>
      <c r="H735" s="24"/>
      <c r="I735" s="24"/>
      <c r="J735" s="24"/>
      <c r="K735" s="24"/>
      <c r="L735" s="24"/>
      <c r="M735" s="90"/>
    </row>
    <row r="736">
      <c r="A736" s="24"/>
      <c r="B736" s="24"/>
      <c r="C736" s="24"/>
      <c r="D736" s="24"/>
      <c r="E736" s="24"/>
      <c r="F736" s="24"/>
      <c r="G736" s="24"/>
      <c r="H736" s="24"/>
      <c r="I736" s="24"/>
      <c r="J736" s="24"/>
      <c r="K736" s="24"/>
      <c r="L736" s="24"/>
      <c r="M736" s="90"/>
    </row>
    <row r="737">
      <c r="A737" s="24"/>
      <c r="B737" s="24"/>
      <c r="C737" s="24"/>
      <c r="D737" s="24"/>
      <c r="E737" s="24"/>
      <c r="F737" s="24"/>
      <c r="G737" s="24"/>
      <c r="H737" s="24"/>
      <c r="I737" s="24"/>
      <c r="J737" s="24"/>
      <c r="K737" s="24"/>
      <c r="L737" s="24"/>
      <c r="M737" s="90"/>
    </row>
    <row r="738">
      <c r="A738" s="24"/>
      <c r="B738" s="24"/>
      <c r="C738" s="24"/>
      <c r="D738" s="24"/>
      <c r="E738" s="24"/>
      <c r="F738" s="24"/>
      <c r="G738" s="24"/>
      <c r="H738" s="24"/>
      <c r="I738" s="24"/>
      <c r="J738" s="24"/>
      <c r="K738" s="24"/>
      <c r="L738" s="24"/>
      <c r="M738" s="90"/>
    </row>
    <row r="739">
      <c r="A739" s="24"/>
      <c r="B739" s="24"/>
      <c r="C739" s="24"/>
      <c r="D739" s="24"/>
      <c r="E739" s="24"/>
      <c r="F739" s="24"/>
      <c r="G739" s="24"/>
      <c r="H739" s="24"/>
      <c r="I739" s="24"/>
      <c r="J739" s="24"/>
      <c r="K739" s="24"/>
      <c r="L739" s="24"/>
      <c r="M739" s="90"/>
    </row>
    <row r="740">
      <c r="A740" s="24"/>
      <c r="B740" s="24"/>
      <c r="C740" s="24"/>
      <c r="D740" s="24"/>
      <c r="E740" s="24"/>
      <c r="F740" s="24"/>
      <c r="G740" s="24"/>
      <c r="H740" s="24"/>
      <c r="I740" s="24"/>
      <c r="J740" s="24"/>
      <c r="K740" s="24"/>
      <c r="L740" s="24"/>
      <c r="M740" s="90"/>
    </row>
    <row r="741">
      <c r="A741" s="24"/>
      <c r="B741" s="24"/>
      <c r="C741" s="24"/>
      <c r="D741" s="24"/>
      <c r="E741" s="24"/>
      <c r="F741" s="24"/>
      <c r="G741" s="24"/>
      <c r="H741" s="24"/>
      <c r="I741" s="24"/>
      <c r="J741" s="24"/>
      <c r="K741" s="24"/>
      <c r="L741" s="24"/>
      <c r="M741" s="90"/>
    </row>
    <row r="742">
      <c r="A742" s="24"/>
      <c r="B742" s="24"/>
      <c r="C742" s="24"/>
      <c r="D742" s="24"/>
      <c r="E742" s="24"/>
      <c r="F742" s="24"/>
      <c r="G742" s="24"/>
      <c r="H742" s="24"/>
      <c r="I742" s="24"/>
      <c r="J742" s="24"/>
      <c r="K742" s="24"/>
      <c r="L742" s="24"/>
      <c r="M742" s="90"/>
    </row>
    <row r="743">
      <c r="A743" s="24"/>
      <c r="B743" s="24"/>
      <c r="C743" s="24"/>
      <c r="D743" s="24"/>
      <c r="E743" s="24"/>
      <c r="F743" s="24"/>
      <c r="G743" s="24"/>
      <c r="H743" s="24"/>
      <c r="I743" s="24"/>
      <c r="J743" s="24"/>
      <c r="K743" s="24"/>
      <c r="L743" s="24"/>
      <c r="M743" s="90"/>
    </row>
    <row r="744">
      <c r="A744" s="24"/>
      <c r="B744" s="24"/>
      <c r="C744" s="24"/>
      <c r="D744" s="24"/>
      <c r="E744" s="24"/>
      <c r="F744" s="24"/>
      <c r="G744" s="24"/>
      <c r="H744" s="24"/>
      <c r="I744" s="24"/>
      <c r="J744" s="24"/>
      <c r="K744" s="24"/>
      <c r="L744" s="24"/>
      <c r="M744" s="90"/>
    </row>
    <row r="745">
      <c r="A745" s="24"/>
      <c r="B745" s="24"/>
      <c r="C745" s="24"/>
      <c r="D745" s="24"/>
      <c r="E745" s="24"/>
      <c r="F745" s="24"/>
      <c r="G745" s="24"/>
      <c r="H745" s="24"/>
      <c r="I745" s="24"/>
      <c r="J745" s="24"/>
      <c r="K745" s="24"/>
      <c r="L745" s="24"/>
      <c r="M745" s="90"/>
    </row>
    <row r="746">
      <c r="A746" s="24"/>
      <c r="B746" s="24"/>
      <c r="C746" s="24"/>
      <c r="D746" s="24"/>
      <c r="E746" s="24"/>
      <c r="F746" s="24"/>
      <c r="G746" s="24"/>
      <c r="H746" s="24"/>
      <c r="I746" s="24"/>
      <c r="J746" s="24"/>
      <c r="K746" s="24"/>
      <c r="L746" s="24"/>
      <c r="M746" s="90"/>
    </row>
    <row r="747">
      <c r="A747" s="24"/>
      <c r="B747" s="24"/>
      <c r="C747" s="24"/>
      <c r="D747" s="24"/>
      <c r="E747" s="24"/>
      <c r="F747" s="24"/>
      <c r="G747" s="24"/>
      <c r="H747" s="24"/>
      <c r="I747" s="24"/>
      <c r="J747" s="24"/>
      <c r="K747" s="24"/>
      <c r="L747" s="24"/>
      <c r="M747" s="90"/>
    </row>
    <row r="748">
      <c r="A748" s="24"/>
      <c r="B748" s="24"/>
      <c r="C748" s="24"/>
      <c r="D748" s="24"/>
      <c r="E748" s="24"/>
      <c r="F748" s="24"/>
      <c r="G748" s="24"/>
      <c r="H748" s="24"/>
      <c r="I748" s="24"/>
      <c r="J748" s="24"/>
      <c r="K748" s="24"/>
      <c r="L748" s="24"/>
      <c r="M748" s="90"/>
    </row>
    <row r="749">
      <c r="A749" s="24"/>
      <c r="B749" s="24"/>
      <c r="C749" s="24"/>
      <c r="D749" s="24"/>
      <c r="E749" s="24"/>
      <c r="F749" s="24"/>
      <c r="G749" s="24"/>
      <c r="H749" s="24"/>
      <c r="I749" s="24"/>
      <c r="J749" s="24"/>
      <c r="K749" s="24"/>
      <c r="L749" s="24"/>
      <c r="M749" s="90"/>
    </row>
    <row r="750">
      <c r="A750" s="24"/>
      <c r="B750" s="24"/>
      <c r="C750" s="24"/>
      <c r="D750" s="24"/>
      <c r="E750" s="24"/>
      <c r="F750" s="24"/>
      <c r="G750" s="24"/>
      <c r="H750" s="24"/>
      <c r="I750" s="24"/>
      <c r="J750" s="24"/>
      <c r="K750" s="24"/>
      <c r="L750" s="24"/>
      <c r="M750" s="90"/>
    </row>
    <row r="751">
      <c r="A751" s="24"/>
      <c r="B751" s="24"/>
      <c r="C751" s="24"/>
      <c r="D751" s="24"/>
      <c r="E751" s="24"/>
      <c r="F751" s="24"/>
      <c r="G751" s="24"/>
      <c r="H751" s="24"/>
      <c r="I751" s="24"/>
      <c r="J751" s="24"/>
      <c r="K751" s="24"/>
      <c r="L751" s="24"/>
      <c r="M751" s="90"/>
    </row>
    <row r="752">
      <c r="A752" s="24"/>
      <c r="B752" s="24"/>
      <c r="C752" s="24"/>
      <c r="D752" s="24"/>
      <c r="E752" s="24"/>
      <c r="F752" s="24"/>
      <c r="G752" s="24"/>
      <c r="H752" s="24"/>
      <c r="I752" s="24"/>
      <c r="J752" s="24"/>
      <c r="K752" s="24"/>
      <c r="L752" s="24"/>
      <c r="M752" s="90"/>
    </row>
    <row r="753">
      <c r="A753" s="24"/>
      <c r="B753" s="24"/>
      <c r="C753" s="24"/>
      <c r="D753" s="24"/>
      <c r="E753" s="24"/>
      <c r="F753" s="24"/>
      <c r="G753" s="24"/>
      <c r="H753" s="24"/>
      <c r="I753" s="24"/>
      <c r="J753" s="24"/>
      <c r="K753" s="24"/>
      <c r="L753" s="24"/>
      <c r="M753" s="90"/>
    </row>
    <row r="754">
      <c r="A754" s="24"/>
      <c r="B754" s="24"/>
      <c r="C754" s="24"/>
      <c r="D754" s="24"/>
      <c r="E754" s="24"/>
      <c r="F754" s="24"/>
      <c r="G754" s="24"/>
      <c r="H754" s="24"/>
      <c r="I754" s="24"/>
      <c r="J754" s="24"/>
      <c r="K754" s="24"/>
      <c r="L754" s="24"/>
      <c r="M754" s="90"/>
    </row>
    <row r="755">
      <c r="A755" s="24"/>
      <c r="B755" s="24"/>
      <c r="C755" s="24"/>
      <c r="D755" s="24"/>
      <c r="E755" s="24"/>
      <c r="F755" s="24"/>
      <c r="G755" s="24"/>
      <c r="H755" s="24"/>
      <c r="I755" s="24"/>
      <c r="J755" s="24"/>
      <c r="K755" s="24"/>
      <c r="L755" s="24"/>
      <c r="M755" s="90"/>
    </row>
    <row r="756">
      <c r="A756" s="24"/>
      <c r="B756" s="24"/>
      <c r="C756" s="24"/>
      <c r="D756" s="24"/>
      <c r="E756" s="24"/>
      <c r="F756" s="24"/>
      <c r="G756" s="24"/>
      <c r="H756" s="24"/>
      <c r="I756" s="24"/>
      <c r="J756" s="24"/>
      <c r="K756" s="24"/>
      <c r="L756" s="24"/>
      <c r="M756" s="90"/>
    </row>
    <row r="757">
      <c r="A757" s="24"/>
      <c r="B757" s="24"/>
      <c r="C757" s="24"/>
      <c r="D757" s="24"/>
      <c r="E757" s="24"/>
      <c r="F757" s="24"/>
      <c r="G757" s="24"/>
      <c r="H757" s="24"/>
      <c r="I757" s="24"/>
      <c r="J757" s="24"/>
      <c r="K757" s="24"/>
      <c r="L757" s="24"/>
      <c r="M757" s="90"/>
    </row>
    <row r="758">
      <c r="A758" s="24"/>
      <c r="B758" s="24"/>
      <c r="C758" s="24"/>
      <c r="D758" s="24"/>
      <c r="E758" s="24"/>
      <c r="F758" s="24"/>
      <c r="G758" s="24"/>
      <c r="H758" s="24"/>
      <c r="I758" s="24"/>
      <c r="J758" s="24"/>
      <c r="K758" s="24"/>
      <c r="L758" s="24"/>
      <c r="M758" s="90"/>
    </row>
    <row r="759">
      <c r="A759" s="24"/>
      <c r="B759" s="24"/>
      <c r="C759" s="24"/>
      <c r="D759" s="24"/>
      <c r="E759" s="24"/>
      <c r="F759" s="24"/>
      <c r="G759" s="24"/>
      <c r="H759" s="24"/>
      <c r="I759" s="24"/>
      <c r="J759" s="24"/>
      <c r="K759" s="24"/>
      <c r="L759" s="24"/>
      <c r="M759" s="90"/>
    </row>
    <row r="760">
      <c r="A760" s="24"/>
      <c r="B760" s="24"/>
      <c r="C760" s="24"/>
      <c r="D760" s="24"/>
      <c r="E760" s="24"/>
      <c r="F760" s="24"/>
      <c r="G760" s="24"/>
      <c r="H760" s="24"/>
      <c r="I760" s="24"/>
      <c r="J760" s="24"/>
      <c r="K760" s="24"/>
      <c r="L760" s="24"/>
      <c r="M760" s="90"/>
    </row>
    <row r="761">
      <c r="A761" s="24"/>
      <c r="B761" s="24"/>
      <c r="C761" s="24"/>
      <c r="D761" s="24"/>
      <c r="E761" s="24"/>
      <c r="F761" s="24"/>
      <c r="G761" s="24"/>
      <c r="H761" s="24"/>
      <c r="I761" s="24"/>
      <c r="J761" s="24"/>
      <c r="K761" s="24"/>
      <c r="L761" s="24"/>
      <c r="M761" s="90"/>
    </row>
    <row r="762">
      <c r="A762" s="24"/>
      <c r="B762" s="24"/>
      <c r="C762" s="24"/>
      <c r="D762" s="24"/>
      <c r="E762" s="24"/>
      <c r="F762" s="24"/>
      <c r="G762" s="24"/>
      <c r="H762" s="24"/>
      <c r="I762" s="24"/>
      <c r="J762" s="24"/>
      <c r="K762" s="24"/>
      <c r="L762" s="24"/>
      <c r="M762" s="90"/>
    </row>
    <row r="763">
      <c r="A763" s="24"/>
      <c r="B763" s="24"/>
      <c r="C763" s="24"/>
      <c r="D763" s="24"/>
      <c r="E763" s="24"/>
      <c r="F763" s="24"/>
      <c r="G763" s="24"/>
      <c r="H763" s="24"/>
      <c r="I763" s="24"/>
      <c r="J763" s="24"/>
      <c r="K763" s="24"/>
      <c r="L763" s="24"/>
      <c r="M763" s="90"/>
    </row>
    <row r="764">
      <c r="A764" s="24"/>
      <c r="B764" s="24"/>
      <c r="C764" s="24"/>
      <c r="D764" s="24"/>
      <c r="E764" s="24"/>
      <c r="F764" s="24"/>
      <c r="G764" s="24"/>
      <c r="H764" s="24"/>
      <c r="I764" s="24"/>
      <c r="J764" s="24"/>
      <c r="K764" s="24"/>
      <c r="L764" s="24"/>
      <c r="M764" s="90"/>
    </row>
    <row r="765">
      <c r="A765" s="24"/>
      <c r="B765" s="24"/>
      <c r="C765" s="24"/>
      <c r="D765" s="24"/>
      <c r="E765" s="24"/>
      <c r="F765" s="24"/>
      <c r="G765" s="24"/>
      <c r="H765" s="24"/>
      <c r="I765" s="24"/>
      <c r="J765" s="24"/>
      <c r="K765" s="24"/>
      <c r="L765" s="24"/>
      <c r="M765" s="90"/>
    </row>
    <row r="766">
      <c r="A766" s="24"/>
      <c r="B766" s="24"/>
      <c r="C766" s="24"/>
      <c r="D766" s="24"/>
      <c r="E766" s="24"/>
      <c r="F766" s="24"/>
      <c r="G766" s="24"/>
      <c r="H766" s="24"/>
      <c r="I766" s="24"/>
      <c r="J766" s="24"/>
      <c r="K766" s="24"/>
      <c r="L766" s="24"/>
      <c r="M766" s="90"/>
    </row>
    <row r="767">
      <c r="A767" s="24"/>
      <c r="B767" s="24"/>
      <c r="C767" s="24"/>
      <c r="D767" s="24"/>
      <c r="E767" s="24"/>
      <c r="F767" s="24"/>
      <c r="G767" s="24"/>
      <c r="H767" s="24"/>
      <c r="I767" s="24"/>
      <c r="J767" s="24"/>
      <c r="K767" s="24"/>
      <c r="L767" s="24"/>
      <c r="M767" s="90"/>
    </row>
    <row r="768">
      <c r="A768" s="24"/>
      <c r="B768" s="24"/>
      <c r="C768" s="24"/>
      <c r="D768" s="24"/>
      <c r="E768" s="24"/>
      <c r="F768" s="24"/>
      <c r="G768" s="24"/>
      <c r="H768" s="24"/>
      <c r="I768" s="24"/>
      <c r="J768" s="24"/>
      <c r="K768" s="24"/>
      <c r="L768" s="24"/>
      <c r="M768" s="90"/>
    </row>
    <row r="769">
      <c r="A769" s="24"/>
      <c r="B769" s="24"/>
      <c r="C769" s="24"/>
      <c r="D769" s="24"/>
      <c r="E769" s="24"/>
      <c r="F769" s="24"/>
      <c r="G769" s="24"/>
      <c r="H769" s="24"/>
      <c r="I769" s="24"/>
      <c r="J769" s="24"/>
      <c r="K769" s="24"/>
      <c r="L769" s="24"/>
      <c r="M769" s="90"/>
    </row>
    <row r="770">
      <c r="A770" s="24"/>
      <c r="B770" s="24"/>
      <c r="C770" s="24"/>
      <c r="D770" s="24"/>
      <c r="E770" s="24"/>
      <c r="F770" s="24"/>
      <c r="G770" s="24"/>
      <c r="H770" s="24"/>
      <c r="I770" s="24"/>
      <c r="J770" s="24"/>
      <c r="K770" s="24"/>
      <c r="L770" s="24"/>
      <c r="M770" s="90"/>
    </row>
    <row r="771">
      <c r="A771" s="24"/>
      <c r="B771" s="24"/>
      <c r="C771" s="24"/>
      <c r="D771" s="24"/>
      <c r="E771" s="24"/>
      <c r="F771" s="24"/>
      <c r="G771" s="24"/>
      <c r="H771" s="24"/>
      <c r="I771" s="24"/>
      <c r="J771" s="24"/>
      <c r="K771" s="24"/>
      <c r="L771" s="24"/>
      <c r="M771" s="90"/>
    </row>
    <row r="772">
      <c r="A772" s="24"/>
      <c r="B772" s="24"/>
      <c r="C772" s="24"/>
      <c r="D772" s="24"/>
      <c r="E772" s="24"/>
      <c r="F772" s="24"/>
      <c r="G772" s="24"/>
      <c r="H772" s="24"/>
      <c r="I772" s="24"/>
      <c r="J772" s="24"/>
      <c r="K772" s="24"/>
      <c r="L772" s="24"/>
      <c r="M772" s="90"/>
    </row>
    <row r="773">
      <c r="A773" s="24"/>
      <c r="B773" s="24"/>
      <c r="C773" s="24"/>
      <c r="D773" s="24"/>
      <c r="E773" s="24"/>
      <c r="F773" s="24"/>
      <c r="G773" s="24"/>
      <c r="H773" s="24"/>
      <c r="I773" s="24"/>
      <c r="J773" s="24"/>
      <c r="K773" s="24"/>
      <c r="L773" s="24"/>
      <c r="M773" s="90"/>
    </row>
    <row r="774">
      <c r="A774" s="24"/>
      <c r="B774" s="24"/>
      <c r="C774" s="24"/>
      <c r="D774" s="24"/>
      <c r="E774" s="24"/>
      <c r="F774" s="24"/>
      <c r="G774" s="24"/>
      <c r="H774" s="24"/>
      <c r="I774" s="24"/>
      <c r="J774" s="24"/>
      <c r="K774" s="24"/>
      <c r="L774" s="24"/>
      <c r="M774" s="90"/>
    </row>
    <row r="775">
      <c r="A775" s="24"/>
      <c r="B775" s="24"/>
      <c r="C775" s="24"/>
      <c r="D775" s="24"/>
      <c r="E775" s="24"/>
      <c r="F775" s="24"/>
      <c r="G775" s="24"/>
      <c r="H775" s="24"/>
      <c r="I775" s="24"/>
      <c r="J775" s="24"/>
      <c r="K775" s="24"/>
      <c r="L775" s="24"/>
      <c r="M775" s="90"/>
    </row>
    <row r="776">
      <c r="A776" s="24"/>
      <c r="B776" s="24"/>
      <c r="C776" s="24"/>
      <c r="D776" s="24"/>
      <c r="E776" s="24"/>
      <c r="F776" s="24"/>
      <c r="G776" s="24"/>
      <c r="H776" s="24"/>
      <c r="I776" s="24"/>
      <c r="J776" s="24"/>
      <c r="K776" s="24"/>
      <c r="L776" s="24"/>
      <c r="M776" s="90"/>
    </row>
    <row r="777">
      <c r="A777" s="24"/>
      <c r="B777" s="24"/>
      <c r="C777" s="24"/>
      <c r="D777" s="24"/>
      <c r="E777" s="24"/>
      <c r="F777" s="24"/>
      <c r="G777" s="24"/>
      <c r="H777" s="24"/>
      <c r="I777" s="24"/>
      <c r="J777" s="24"/>
      <c r="K777" s="24"/>
      <c r="L777" s="24"/>
      <c r="M777" s="90"/>
    </row>
    <row r="778">
      <c r="A778" s="24"/>
      <c r="B778" s="24"/>
      <c r="C778" s="24"/>
      <c r="D778" s="24"/>
      <c r="E778" s="24"/>
      <c r="F778" s="24"/>
      <c r="G778" s="24"/>
      <c r="H778" s="24"/>
      <c r="I778" s="24"/>
      <c r="J778" s="24"/>
      <c r="K778" s="24"/>
      <c r="L778" s="24"/>
      <c r="M778" s="90"/>
    </row>
    <row r="779">
      <c r="A779" s="24"/>
      <c r="B779" s="24"/>
      <c r="C779" s="24"/>
      <c r="D779" s="24"/>
      <c r="E779" s="24"/>
      <c r="F779" s="24"/>
      <c r="G779" s="24"/>
      <c r="H779" s="24"/>
      <c r="I779" s="24"/>
      <c r="J779" s="24"/>
      <c r="K779" s="24"/>
      <c r="L779" s="24"/>
      <c r="M779" s="90"/>
    </row>
    <row r="780">
      <c r="A780" s="24"/>
      <c r="B780" s="24"/>
      <c r="C780" s="24"/>
      <c r="D780" s="24"/>
      <c r="E780" s="24"/>
      <c r="F780" s="24"/>
      <c r="G780" s="24"/>
      <c r="H780" s="24"/>
      <c r="I780" s="24"/>
      <c r="J780" s="24"/>
      <c r="K780" s="24"/>
      <c r="L780" s="24"/>
      <c r="M780" s="90"/>
    </row>
    <row r="781">
      <c r="A781" s="24"/>
      <c r="B781" s="24"/>
      <c r="C781" s="24"/>
      <c r="D781" s="24"/>
      <c r="E781" s="24"/>
      <c r="F781" s="24"/>
      <c r="G781" s="24"/>
      <c r="H781" s="24"/>
      <c r="I781" s="24"/>
      <c r="J781" s="24"/>
      <c r="K781" s="24"/>
      <c r="L781" s="24"/>
      <c r="M781" s="90"/>
    </row>
    <row r="782">
      <c r="A782" s="24"/>
      <c r="B782" s="24"/>
      <c r="C782" s="24"/>
      <c r="D782" s="24"/>
      <c r="E782" s="24"/>
      <c r="F782" s="24"/>
      <c r="G782" s="24"/>
      <c r="H782" s="24"/>
      <c r="I782" s="24"/>
      <c r="J782" s="24"/>
      <c r="K782" s="24"/>
      <c r="L782" s="24"/>
      <c r="M782" s="90"/>
    </row>
    <row r="783">
      <c r="A783" s="24"/>
      <c r="B783" s="24"/>
      <c r="C783" s="24"/>
      <c r="D783" s="24"/>
      <c r="E783" s="24"/>
      <c r="F783" s="24"/>
      <c r="G783" s="24"/>
      <c r="H783" s="24"/>
      <c r="I783" s="24"/>
      <c r="J783" s="24"/>
      <c r="K783" s="24"/>
      <c r="L783" s="24"/>
      <c r="M783" s="90"/>
    </row>
    <row r="784">
      <c r="A784" s="24"/>
      <c r="B784" s="24"/>
      <c r="C784" s="24"/>
      <c r="D784" s="24"/>
      <c r="E784" s="24"/>
      <c r="F784" s="24"/>
      <c r="G784" s="24"/>
      <c r="H784" s="24"/>
      <c r="I784" s="24"/>
      <c r="J784" s="24"/>
      <c r="K784" s="24"/>
      <c r="L784" s="24"/>
      <c r="M784" s="90"/>
    </row>
    <row r="785">
      <c r="A785" s="24"/>
      <c r="B785" s="24"/>
      <c r="C785" s="24"/>
      <c r="D785" s="24"/>
      <c r="E785" s="24"/>
      <c r="F785" s="24"/>
      <c r="G785" s="24"/>
      <c r="H785" s="24"/>
      <c r="I785" s="24"/>
      <c r="J785" s="24"/>
      <c r="K785" s="24"/>
      <c r="L785" s="24"/>
      <c r="M785" s="90"/>
    </row>
    <row r="786">
      <c r="A786" s="24"/>
      <c r="B786" s="24"/>
      <c r="C786" s="24"/>
      <c r="D786" s="24"/>
      <c r="E786" s="24"/>
      <c r="F786" s="24"/>
      <c r="G786" s="24"/>
      <c r="H786" s="24"/>
      <c r="I786" s="24"/>
      <c r="J786" s="24"/>
      <c r="K786" s="24"/>
      <c r="L786" s="24"/>
      <c r="M786" s="90"/>
    </row>
    <row r="787">
      <c r="A787" s="24"/>
      <c r="B787" s="24"/>
      <c r="C787" s="24"/>
      <c r="D787" s="24"/>
      <c r="E787" s="24"/>
      <c r="F787" s="24"/>
      <c r="G787" s="24"/>
      <c r="H787" s="24"/>
      <c r="I787" s="24"/>
      <c r="J787" s="24"/>
      <c r="K787" s="24"/>
      <c r="L787" s="24"/>
      <c r="M787" s="90"/>
    </row>
    <row r="788">
      <c r="A788" s="24"/>
      <c r="B788" s="24"/>
      <c r="C788" s="24"/>
      <c r="D788" s="24"/>
      <c r="E788" s="24"/>
      <c r="F788" s="24"/>
      <c r="G788" s="24"/>
      <c r="H788" s="24"/>
      <c r="I788" s="24"/>
      <c r="J788" s="24"/>
      <c r="K788" s="24"/>
      <c r="L788" s="24"/>
      <c r="M788" s="90"/>
    </row>
    <row r="789">
      <c r="A789" s="24"/>
      <c r="B789" s="24"/>
      <c r="C789" s="24"/>
      <c r="D789" s="24"/>
      <c r="E789" s="24"/>
      <c r="F789" s="24"/>
      <c r="G789" s="24"/>
      <c r="H789" s="24"/>
      <c r="I789" s="24"/>
      <c r="J789" s="24"/>
      <c r="K789" s="24"/>
      <c r="L789" s="24"/>
      <c r="M789" s="90"/>
    </row>
    <row r="790">
      <c r="A790" s="24"/>
      <c r="B790" s="24"/>
      <c r="C790" s="24"/>
      <c r="D790" s="24"/>
      <c r="E790" s="24"/>
      <c r="F790" s="24"/>
      <c r="G790" s="24"/>
      <c r="H790" s="24"/>
      <c r="I790" s="24"/>
      <c r="J790" s="24"/>
      <c r="K790" s="24"/>
      <c r="L790" s="24"/>
      <c r="M790" s="90"/>
    </row>
    <row r="791">
      <c r="A791" s="24"/>
      <c r="B791" s="24"/>
      <c r="C791" s="24"/>
      <c r="D791" s="24"/>
      <c r="E791" s="24"/>
      <c r="F791" s="24"/>
      <c r="G791" s="24"/>
      <c r="H791" s="24"/>
      <c r="I791" s="24"/>
      <c r="J791" s="24"/>
      <c r="K791" s="24"/>
      <c r="L791" s="24"/>
      <c r="M791" s="90"/>
    </row>
    <row r="792">
      <c r="A792" s="24"/>
      <c r="B792" s="24"/>
      <c r="C792" s="24"/>
      <c r="D792" s="24"/>
      <c r="E792" s="24"/>
      <c r="F792" s="24"/>
      <c r="G792" s="24"/>
      <c r="H792" s="24"/>
      <c r="I792" s="24"/>
      <c r="J792" s="24"/>
      <c r="K792" s="24"/>
      <c r="L792" s="24"/>
      <c r="M792" s="90"/>
    </row>
    <row r="793">
      <c r="A793" s="24"/>
      <c r="B793" s="24"/>
      <c r="C793" s="24"/>
      <c r="D793" s="24"/>
      <c r="E793" s="24"/>
      <c r="F793" s="24"/>
      <c r="G793" s="24"/>
      <c r="H793" s="24"/>
      <c r="I793" s="24"/>
      <c r="J793" s="24"/>
      <c r="K793" s="24"/>
      <c r="L793" s="24"/>
      <c r="M793" s="90"/>
    </row>
    <row r="794">
      <c r="A794" s="24"/>
      <c r="B794" s="24"/>
      <c r="C794" s="24"/>
      <c r="D794" s="24"/>
      <c r="E794" s="24"/>
      <c r="F794" s="24"/>
      <c r="G794" s="24"/>
      <c r="H794" s="24"/>
      <c r="I794" s="24"/>
      <c r="J794" s="24"/>
      <c r="K794" s="24"/>
      <c r="L794" s="24"/>
      <c r="M794" s="90"/>
    </row>
    <row r="795">
      <c r="A795" s="24"/>
      <c r="B795" s="24"/>
      <c r="C795" s="24"/>
      <c r="D795" s="24"/>
      <c r="E795" s="24"/>
      <c r="F795" s="24"/>
      <c r="G795" s="24"/>
      <c r="H795" s="24"/>
      <c r="I795" s="24"/>
      <c r="J795" s="24"/>
      <c r="K795" s="24"/>
      <c r="L795" s="24"/>
      <c r="M795" s="90"/>
    </row>
    <row r="796">
      <c r="A796" s="24"/>
      <c r="B796" s="24"/>
      <c r="C796" s="24"/>
      <c r="D796" s="24"/>
      <c r="E796" s="24"/>
      <c r="F796" s="24"/>
      <c r="G796" s="24"/>
      <c r="H796" s="24"/>
      <c r="I796" s="24"/>
      <c r="J796" s="24"/>
      <c r="K796" s="24"/>
      <c r="L796" s="24"/>
      <c r="M796" s="90"/>
    </row>
    <row r="797">
      <c r="A797" s="24"/>
      <c r="B797" s="24"/>
      <c r="C797" s="24"/>
      <c r="D797" s="24"/>
      <c r="E797" s="24"/>
      <c r="F797" s="24"/>
      <c r="G797" s="24"/>
      <c r="H797" s="24"/>
      <c r="I797" s="24"/>
      <c r="J797" s="24"/>
      <c r="K797" s="24"/>
      <c r="L797" s="24"/>
      <c r="M797" s="90"/>
    </row>
    <row r="798">
      <c r="A798" s="24"/>
      <c r="B798" s="24"/>
      <c r="C798" s="24"/>
      <c r="D798" s="24"/>
      <c r="E798" s="24"/>
      <c r="F798" s="24"/>
      <c r="G798" s="24"/>
      <c r="H798" s="24"/>
      <c r="I798" s="24"/>
      <c r="J798" s="24"/>
      <c r="K798" s="24"/>
      <c r="L798" s="24"/>
      <c r="M798" s="90"/>
    </row>
    <row r="799">
      <c r="A799" s="24"/>
      <c r="B799" s="24"/>
      <c r="C799" s="24"/>
      <c r="D799" s="24"/>
      <c r="E799" s="24"/>
      <c r="F799" s="24"/>
      <c r="G799" s="24"/>
      <c r="H799" s="24"/>
      <c r="I799" s="24"/>
      <c r="J799" s="24"/>
      <c r="K799" s="24"/>
      <c r="L799" s="24"/>
      <c r="M799" s="90"/>
    </row>
    <row r="800">
      <c r="A800" s="24"/>
      <c r="B800" s="24"/>
      <c r="C800" s="24"/>
      <c r="D800" s="24"/>
      <c r="E800" s="24"/>
      <c r="F800" s="24"/>
      <c r="G800" s="24"/>
      <c r="H800" s="24"/>
      <c r="I800" s="24"/>
      <c r="J800" s="24"/>
      <c r="K800" s="24"/>
      <c r="L800" s="24"/>
      <c r="M800" s="90"/>
    </row>
    <row r="801">
      <c r="A801" s="24"/>
      <c r="B801" s="24"/>
      <c r="C801" s="24"/>
      <c r="D801" s="24"/>
      <c r="E801" s="24"/>
      <c r="F801" s="24"/>
      <c r="G801" s="24"/>
      <c r="H801" s="24"/>
      <c r="I801" s="24"/>
      <c r="J801" s="24"/>
      <c r="K801" s="24"/>
      <c r="L801" s="24"/>
      <c r="M801" s="90"/>
    </row>
    <row r="802">
      <c r="A802" s="24"/>
      <c r="B802" s="24"/>
      <c r="C802" s="24"/>
      <c r="D802" s="24"/>
      <c r="E802" s="24"/>
      <c r="F802" s="24"/>
      <c r="G802" s="24"/>
      <c r="H802" s="24"/>
      <c r="I802" s="24"/>
      <c r="J802" s="24"/>
      <c r="K802" s="24"/>
      <c r="L802" s="24"/>
      <c r="M802" s="90"/>
    </row>
    <row r="803">
      <c r="A803" s="24"/>
      <c r="B803" s="24"/>
      <c r="C803" s="24"/>
      <c r="D803" s="24"/>
      <c r="E803" s="24"/>
      <c r="F803" s="24"/>
      <c r="G803" s="24"/>
      <c r="H803" s="24"/>
      <c r="I803" s="24"/>
      <c r="J803" s="24"/>
      <c r="K803" s="24"/>
      <c r="L803" s="24"/>
      <c r="M803" s="90"/>
    </row>
    <row r="804">
      <c r="A804" s="24"/>
      <c r="B804" s="24"/>
      <c r="C804" s="24"/>
      <c r="D804" s="24"/>
      <c r="E804" s="24"/>
      <c r="F804" s="24"/>
      <c r="G804" s="24"/>
      <c r="H804" s="24"/>
      <c r="I804" s="24"/>
      <c r="J804" s="24"/>
      <c r="K804" s="24"/>
      <c r="L804" s="24"/>
      <c r="M804" s="90"/>
    </row>
    <row r="805">
      <c r="A805" s="24"/>
      <c r="B805" s="24"/>
      <c r="C805" s="24"/>
      <c r="D805" s="24"/>
      <c r="E805" s="24"/>
      <c r="F805" s="24"/>
      <c r="G805" s="24"/>
      <c r="H805" s="24"/>
      <c r="I805" s="24"/>
      <c r="J805" s="24"/>
      <c r="K805" s="24"/>
      <c r="L805" s="24"/>
      <c r="M805" s="90"/>
    </row>
    <row r="806">
      <c r="A806" s="24"/>
      <c r="B806" s="24"/>
      <c r="C806" s="24"/>
      <c r="D806" s="24"/>
      <c r="E806" s="24"/>
      <c r="F806" s="24"/>
      <c r="G806" s="24"/>
      <c r="H806" s="24"/>
      <c r="I806" s="24"/>
      <c r="J806" s="24"/>
      <c r="K806" s="24"/>
      <c r="L806" s="24"/>
      <c r="M806" s="90"/>
    </row>
    <row r="807">
      <c r="A807" s="24"/>
      <c r="B807" s="24"/>
      <c r="C807" s="24"/>
      <c r="D807" s="24"/>
      <c r="E807" s="24"/>
      <c r="F807" s="24"/>
      <c r="G807" s="24"/>
      <c r="H807" s="24"/>
      <c r="I807" s="24"/>
      <c r="J807" s="24"/>
      <c r="K807" s="24"/>
      <c r="L807" s="24"/>
      <c r="M807" s="90"/>
    </row>
    <row r="808">
      <c r="A808" s="24"/>
      <c r="B808" s="24"/>
      <c r="C808" s="24"/>
      <c r="D808" s="24"/>
      <c r="E808" s="24"/>
      <c r="F808" s="24"/>
      <c r="G808" s="24"/>
      <c r="H808" s="24"/>
      <c r="I808" s="24"/>
      <c r="J808" s="24"/>
      <c r="K808" s="24"/>
      <c r="L808" s="24"/>
      <c r="M808" s="90"/>
    </row>
    <row r="809">
      <c r="A809" s="24"/>
      <c r="B809" s="24"/>
      <c r="C809" s="24"/>
      <c r="D809" s="24"/>
      <c r="E809" s="24"/>
      <c r="F809" s="24"/>
      <c r="G809" s="24"/>
      <c r="H809" s="24"/>
      <c r="I809" s="24"/>
      <c r="J809" s="24"/>
      <c r="K809" s="24"/>
      <c r="L809" s="24"/>
      <c r="M809" s="90"/>
    </row>
    <row r="810">
      <c r="A810" s="24"/>
      <c r="B810" s="24"/>
      <c r="C810" s="24"/>
      <c r="D810" s="24"/>
      <c r="E810" s="24"/>
      <c r="F810" s="24"/>
      <c r="G810" s="24"/>
      <c r="H810" s="24"/>
      <c r="I810" s="24"/>
      <c r="J810" s="24"/>
      <c r="K810" s="24"/>
      <c r="L810" s="24"/>
      <c r="M810" s="90"/>
    </row>
    <row r="811">
      <c r="A811" s="24"/>
      <c r="B811" s="24"/>
      <c r="C811" s="24"/>
      <c r="D811" s="24"/>
      <c r="E811" s="24"/>
      <c r="F811" s="24"/>
      <c r="G811" s="24"/>
      <c r="H811" s="24"/>
      <c r="I811" s="24"/>
      <c r="J811" s="24"/>
      <c r="K811" s="24"/>
      <c r="L811" s="24"/>
      <c r="M811" s="90"/>
    </row>
    <row r="812">
      <c r="A812" s="24"/>
      <c r="B812" s="24"/>
      <c r="C812" s="24"/>
      <c r="D812" s="24"/>
      <c r="E812" s="24"/>
      <c r="F812" s="24"/>
      <c r="G812" s="24"/>
      <c r="H812" s="24"/>
      <c r="I812" s="24"/>
      <c r="J812" s="24"/>
      <c r="K812" s="24"/>
      <c r="L812" s="24"/>
      <c r="M812" s="90"/>
    </row>
    <row r="813">
      <c r="A813" s="24"/>
      <c r="B813" s="24"/>
      <c r="C813" s="24"/>
      <c r="D813" s="24"/>
      <c r="E813" s="24"/>
      <c r="F813" s="24"/>
      <c r="G813" s="24"/>
      <c r="H813" s="24"/>
      <c r="I813" s="24"/>
      <c r="J813" s="24"/>
      <c r="K813" s="24"/>
      <c r="L813" s="24"/>
      <c r="M813" s="90"/>
    </row>
    <row r="814">
      <c r="A814" s="24"/>
      <c r="B814" s="24"/>
      <c r="C814" s="24"/>
      <c r="D814" s="24"/>
      <c r="E814" s="24"/>
      <c r="F814" s="24"/>
      <c r="G814" s="24"/>
      <c r="H814" s="24"/>
      <c r="I814" s="24"/>
      <c r="J814" s="24"/>
      <c r="K814" s="24"/>
      <c r="L814" s="24"/>
      <c r="M814" s="90"/>
    </row>
    <row r="815">
      <c r="A815" s="24"/>
      <c r="B815" s="24"/>
      <c r="C815" s="24"/>
      <c r="D815" s="24"/>
      <c r="E815" s="24"/>
      <c r="F815" s="24"/>
      <c r="G815" s="24"/>
      <c r="H815" s="24"/>
      <c r="I815" s="24"/>
      <c r="J815" s="24"/>
      <c r="K815" s="24"/>
      <c r="L815" s="24"/>
      <c r="M815" s="90"/>
    </row>
    <row r="816">
      <c r="A816" s="24"/>
      <c r="B816" s="24"/>
      <c r="C816" s="24"/>
      <c r="D816" s="24"/>
      <c r="E816" s="24"/>
      <c r="F816" s="24"/>
      <c r="G816" s="24"/>
      <c r="H816" s="24"/>
      <c r="I816" s="24"/>
      <c r="J816" s="24"/>
      <c r="K816" s="24"/>
      <c r="L816" s="24"/>
      <c r="M816" s="90"/>
    </row>
    <row r="817">
      <c r="A817" s="24"/>
      <c r="B817" s="24"/>
      <c r="C817" s="24"/>
      <c r="D817" s="24"/>
      <c r="E817" s="24"/>
      <c r="F817" s="24"/>
      <c r="G817" s="24"/>
      <c r="H817" s="24"/>
      <c r="I817" s="24"/>
      <c r="J817" s="24"/>
      <c r="K817" s="24"/>
      <c r="L817" s="24"/>
      <c r="M817" s="90"/>
    </row>
    <row r="818">
      <c r="A818" s="24"/>
      <c r="B818" s="24"/>
      <c r="C818" s="24"/>
      <c r="D818" s="24"/>
      <c r="E818" s="24"/>
      <c r="F818" s="24"/>
      <c r="G818" s="24"/>
      <c r="H818" s="24"/>
      <c r="I818" s="24"/>
      <c r="J818" s="24"/>
      <c r="K818" s="24"/>
      <c r="L818" s="24"/>
      <c r="M818" s="90"/>
    </row>
    <row r="819">
      <c r="A819" s="24"/>
      <c r="B819" s="24"/>
      <c r="C819" s="24"/>
      <c r="D819" s="24"/>
      <c r="E819" s="24"/>
      <c r="F819" s="24"/>
      <c r="G819" s="24"/>
      <c r="H819" s="24"/>
      <c r="I819" s="24"/>
      <c r="J819" s="24"/>
      <c r="K819" s="24"/>
      <c r="L819" s="24"/>
      <c r="M819" s="90"/>
    </row>
    <row r="820">
      <c r="A820" s="24"/>
      <c r="B820" s="24"/>
      <c r="C820" s="24"/>
      <c r="D820" s="24"/>
      <c r="E820" s="24"/>
      <c r="F820" s="24"/>
      <c r="G820" s="24"/>
      <c r="H820" s="24"/>
      <c r="I820" s="24"/>
      <c r="J820" s="24"/>
      <c r="K820" s="24"/>
      <c r="L820" s="24"/>
      <c r="M820" s="90"/>
    </row>
    <row r="821">
      <c r="A821" s="24"/>
      <c r="B821" s="24"/>
      <c r="C821" s="24"/>
      <c r="D821" s="24"/>
      <c r="E821" s="24"/>
      <c r="F821" s="24"/>
      <c r="G821" s="24"/>
      <c r="H821" s="24"/>
      <c r="I821" s="24"/>
      <c r="J821" s="24"/>
      <c r="K821" s="24"/>
      <c r="L821" s="24"/>
      <c r="M821" s="90"/>
    </row>
    <row r="822">
      <c r="A822" s="24"/>
      <c r="B822" s="24"/>
      <c r="C822" s="24"/>
      <c r="D822" s="24"/>
      <c r="E822" s="24"/>
      <c r="F822" s="24"/>
      <c r="G822" s="24"/>
      <c r="H822" s="24"/>
      <c r="I822" s="24"/>
      <c r="J822" s="24"/>
      <c r="K822" s="24"/>
      <c r="L822" s="24"/>
      <c r="M822" s="90"/>
    </row>
    <row r="823">
      <c r="A823" s="24"/>
      <c r="B823" s="24"/>
      <c r="C823" s="24"/>
      <c r="D823" s="24"/>
      <c r="E823" s="24"/>
      <c r="F823" s="24"/>
      <c r="G823" s="24"/>
      <c r="H823" s="24"/>
      <c r="I823" s="24"/>
      <c r="J823" s="24"/>
      <c r="K823" s="24"/>
      <c r="L823" s="24"/>
      <c r="M823" s="90"/>
    </row>
    <row r="824">
      <c r="A824" s="24"/>
      <c r="B824" s="24"/>
      <c r="C824" s="24"/>
      <c r="D824" s="24"/>
      <c r="E824" s="24"/>
      <c r="F824" s="24"/>
      <c r="G824" s="24"/>
      <c r="H824" s="24"/>
      <c r="I824" s="24"/>
      <c r="J824" s="24"/>
      <c r="K824" s="24"/>
      <c r="L824" s="24"/>
      <c r="M824" s="90"/>
    </row>
    <row r="825">
      <c r="A825" s="24"/>
      <c r="B825" s="24"/>
      <c r="C825" s="24"/>
      <c r="D825" s="24"/>
      <c r="E825" s="24"/>
      <c r="F825" s="24"/>
      <c r="G825" s="24"/>
      <c r="H825" s="24"/>
      <c r="I825" s="24"/>
      <c r="J825" s="24"/>
      <c r="K825" s="24"/>
      <c r="L825" s="24"/>
      <c r="M825" s="90"/>
    </row>
    <row r="826">
      <c r="A826" s="24"/>
      <c r="B826" s="24"/>
      <c r="C826" s="24"/>
      <c r="D826" s="24"/>
      <c r="E826" s="24"/>
      <c r="F826" s="24"/>
      <c r="G826" s="24"/>
      <c r="H826" s="24"/>
      <c r="I826" s="24"/>
      <c r="J826" s="24"/>
      <c r="K826" s="24"/>
      <c r="L826" s="24"/>
      <c r="M826" s="90"/>
    </row>
    <row r="827">
      <c r="A827" s="24"/>
      <c r="B827" s="24"/>
      <c r="C827" s="24"/>
      <c r="D827" s="24"/>
      <c r="E827" s="24"/>
      <c r="F827" s="24"/>
      <c r="G827" s="24"/>
      <c r="H827" s="24"/>
      <c r="I827" s="24"/>
      <c r="J827" s="24"/>
      <c r="K827" s="24"/>
      <c r="L827" s="24"/>
      <c r="M827" s="90"/>
    </row>
    <row r="828">
      <c r="A828" s="24"/>
      <c r="B828" s="24"/>
      <c r="C828" s="24"/>
      <c r="D828" s="24"/>
      <c r="E828" s="24"/>
      <c r="F828" s="24"/>
      <c r="G828" s="24"/>
      <c r="H828" s="24"/>
      <c r="I828" s="24"/>
      <c r="J828" s="24"/>
      <c r="K828" s="24"/>
      <c r="L828" s="24"/>
      <c r="M828" s="90"/>
    </row>
    <row r="829">
      <c r="A829" s="24"/>
      <c r="B829" s="24"/>
      <c r="C829" s="24"/>
      <c r="D829" s="24"/>
      <c r="E829" s="24"/>
      <c r="F829" s="24"/>
      <c r="G829" s="24"/>
      <c r="H829" s="24"/>
      <c r="I829" s="24"/>
      <c r="J829" s="24"/>
      <c r="K829" s="24"/>
      <c r="L829" s="24"/>
      <c r="M829" s="90"/>
    </row>
    <row r="830">
      <c r="A830" s="24"/>
      <c r="B830" s="24"/>
      <c r="C830" s="24"/>
      <c r="D830" s="24"/>
      <c r="E830" s="24"/>
      <c r="F830" s="24"/>
      <c r="G830" s="24"/>
      <c r="H830" s="24"/>
      <c r="I830" s="24"/>
      <c r="J830" s="24"/>
      <c r="K830" s="24"/>
      <c r="L830" s="24"/>
      <c r="M830" s="90"/>
    </row>
    <row r="831">
      <c r="A831" s="24"/>
      <c r="B831" s="24"/>
      <c r="C831" s="24"/>
      <c r="D831" s="24"/>
      <c r="E831" s="24"/>
      <c r="F831" s="24"/>
      <c r="G831" s="24"/>
      <c r="H831" s="24"/>
      <c r="I831" s="24"/>
      <c r="J831" s="24"/>
      <c r="K831" s="24"/>
      <c r="L831" s="24"/>
      <c r="M831" s="90"/>
    </row>
    <row r="832">
      <c r="A832" s="24"/>
      <c r="B832" s="24"/>
      <c r="C832" s="24"/>
      <c r="D832" s="24"/>
      <c r="E832" s="24"/>
      <c r="F832" s="24"/>
      <c r="G832" s="24"/>
      <c r="H832" s="24"/>
      <c r="I832" s="24"/>
      <c r="J832" s="24"/>
      <c r="K832" s="24"/>
      <c r="L832" s="24"/>
      <c r="M832" s="90"/>
    </row>
    <row r="833">
      <c r="A833" s="24"/>
      <c r="B833" s="24"/>
      <c r="C833" s="24"/>
      <c r="D833" s="24"/>
      <c r="E833" s="24"/>
      <c r="F833" s="24"/>
      <c r="G833" s="24"/>
      <c r="H833" s="24"/>
      <c r="I833" s="24"/>
      <c r="J833" s="24"/>
      <c r="K833" s="24"/>
      <c r="L833" s="24"/>
      <c r="M833" s="90"/>
    </row>
    <row r="834">
      <c r="A834" s="24"/>
      <c r="B834" s="24"/>
      <c r="C834" s="24"/>
      <c r="D834" s="24"/>
      <c r="E834" s="24"/>
      <c r="F834" s="24"/>
      <c r="G834" s="24"/>
      <c r="H834" s="24"/>
      <c r="I834" s="24"/>
      <c r="J834" s="24"/>
      <c r="K834" s="24"/>
      <c r="L834" s="24"/>
      <c r="M834" s="90"/>
    </row>
    <row r="835">
      <c r="A835" s="24"/>
      <c r="B835" s="24"/>
      <c r="C835" s="24"/>
      <c r="D835" s="24"/>
      <c r="E835" s="24"/>
      <c r="F835" s="24"/>
      <c r="G835" s="24"/>
      <c r="H835" s="24"/>
      <c r="I835" s="24"/>
      <c r="J835" s="24"/>
      <c r="K835" s="24"/>
      <c r="L835" s="24"/>
      <c r="M835" s="90"/>
    </row>
    <row r="836">
      <c r="A836" s="24"/>
      <c r="B836" s="24"/>
      <c r="C836" s="24"/>
      <c r="D836" s="24"/>
      <c r="E836" s="24"/>
      <c r="F836" s="24"/>
      <c r="G836" s="24"/>
      <c r="H836" s="24"/>
      <c r="I836" s="24"/>
      <c r="J836" s="24"/>
      <c r="K836" s="24"/>
      <c r="L836" s="24"/>
      <c r="M836" s="90"/>
    </row>
    <row r="837">
      <c r="A837" s="24"/>
      <c r="B837" s="24"/>
      <c r="C837" s="24"/>
      <c r="D837" s="24"/>
      <c r="E837" s="24"/>
      <c r="F837" s="24"/>
      <c r="G837" s="24"/>
      <c r="H837" s="24"/>
      <c r="I837" s="24"/>
      <c r="J837" s="24"/>
      <c r="K837" s="24"/>
      <c r="L837" s="24"/>
      <c r="M837" s="90"/>
    </row>
    <row r="838">
      <c r="A838" s="24"/>
      <c r="B838" s="24"/>
      <c r="C838" s="24"/>
      <c r="D838" s="24"/>
      <c r="E838" s="24"/>
      <c r="F838" s="24"/>
      <c r="G838" s="24"/>
      <c r="H838" s="24"/>
      <c r="I838" s="24"/>
      <c r="J838" s="24"/>
      <c r="K838" s="24"/>
      <c r="L838" s="24"/>
      <c r="M838" s="90"/>
    </row>
    <row r="839">
      <c r="A839" s="24"/>
      <c r="B839" s="24"/>
      <c r="C839" s="24"/>
      <c r="D839" s="24"/>
      <c r="E839" s="24"/>
      <c r="F839" s="24"/>
      <c r="G839" s="24"/>
      <c r="H839" s="24"/>
      <c r="I839" s="24"/>
      <c r="J839" s="24"/>
      <c r="K839" s="24"/>
      <c r="L839" s="24"/>
      <c r="M839" s="90"/>
    </row>
    <row r="840">
      <c r="A840" s="24"/>
      <c r="B840" s="24"/>
      <c r="C840" s="24"/>
      <c r="D840" s="24"/>
      <c r="E840" s="24"/>
      <c r="F840" s="24"/>
      <c r="G840" s="24"/>
      <c r="H840" s="24"/>
      <c r="I840" s="24"/>
      <c r="J840" s="24"/>
      <c r="K840" s="24"/>
      <c r="L840" s="24"/>
      <c r="M840" s="90"/>
    </row>
    <row r="841">
      <c r="A841" s="24"/>
      <c r="B841" s="24"/>
      <c r="C841" s="24"/>
      <c r="D841" s="24"/>
      <c r="E841" s="24"/>
      <c r="F841" s="24"/>
      <c r="G841" s="24"/>
      <c r="H841" s="24"/>
      <c r="I841" s="24"/>
      <c r="J841" s="24"/>
      <c r="K841" s="24"/>
      <c r="L841" s="24"/>
      <c r="M841" s="90"/>
    </row>
    <row r="842">
      <c r="A842" s="24"/>
      <c r="B842" s="24"/>
      <c r="C842" s="24"/>
      <c r="D842" s="24"/>
      <c r="E842" s="24"/>
      <c r="F842" s="24"/>
      <c r="G842" s="24"/>
      <c r="H842" s="24"/>
      <c r="I842" s="24"/>
      <c r="J842" s="24"/>
      <c r="K842" s="24"/>
      <c r="L842" s="24"/>
      <c r="M842" s="90"/>
    </row>
    <row r="843">
      <c r="A843" s="24"/>
      <c r="B843" s="24"/>
      <c r="C843" s="24"/>
      <c r="D843" s="24"/>
      <c r="E843" s="24"/>
      <c r="F843" s="24"/>
      <c r="G843" s="24"/>
      <c r="H843" s="24"/>
      <c r="I843" s="24"/>
      <c r="J843" s="24"/>
      <c r="K843" s="24"/>
      <c r="L843" s="24"/>
      <c r="M843" s="90"/>
    </row>
    <row r="844">
      <c r="A844" s="24"/>
      <c r="B844" s="24"/>
      <c r="C844" s="24"/>
      <c r="D844" s="24"/>
      <c r="E844" s="24"/>
      <c r="F844" s="24"/>
      <c r="G844" s="24"/>
      <c r="H844" s="24"/>
      <c r="I844" s="24"/>
      <c r="J844" s="24"/>
      <c r="K844" s="24"/>
      <c r="L844" s="24"/>
      <c r="M844" s="90"/>
    </row>
    <row r="845">
      <c r="A845" s="24"/>
      <c r="B845" s="24"/>
      <c r="C845" s="24"/>
      <c r="D845" s="24"/>
      <c r="E845" s="24"/>
      <c r="F845" s="24"/>
      <c r="G845" s="24"/>
      <c r="H845" s="24"/>
      <c r="I845" s="24"/>
      <c r="J845" s="24"/>
      <c r="K845" s="24"/>
      <c r="L845" s="24"/>
      <c r="M845" s="90"/>
    </row>
    <row r="846">
      <c r="A846" s="24"/>
      <c r="B846" s="24"/>
      <c r="C846" s="24"/>
      <c r="D846" s="24"/>
      <c r="E846" s="24"/>
      <c r="F846" s="24"/>
      <c r="G846" s="24"/>
      <c r="H846" s="24"/>
      <c r="I846" s="24"/>
      <c r="J846" s="24"/>
      <c r="K846" s="24"/>
      <c r="L846" s="24"/>
      <c r="M846" s="90"/>
    </row>
    <row r="847">
      <c r="A847" s="24"/>
      <c r="B847" s="24"/>
      <c r="C847" s="24"/>
      <c r="D847" s="24"/>
      <c r="E847" s="24"/>
      <c r="F847" s="24"/>
      <c r="G847" s="24"/>
      <c r="H847" s="24"/>
      <c r="I847" s="24"/>
      <c r="J847" s="24"/>
      <c r="K847" s="24"/>
      <c r="L847" s="24"/>
      <c r="M847" s="90"/>
    </row>
    <row r="848">
      <c r="A848" s="24"/>
      <c r="B848" s="24"/>
      <c r="C848" s="24"/>
      <c r="D848" s="24"/>
      <c r="E848" s="24"/>
      <c r="F848" s="24"/>
      <c r="G848" s="24"/>
      <c r="H848" s="24"/>
      <c r="I848" s="24"/>
      <c r="J848" s="24"/>
      <c r="K848" s="24"/>
      <c r="L848" s="24"/>
      <c r="M848" s="90"/>
    </row>
    <row r="849">
      <c r="A849" s="24"/>
      <c r="B849" s="24"/>
      <c r="C849" s="24"/>
      <c r="D849" s="24"/>
      <c r="E849" s="24"/>
      <c r="F849" s="24"/>
      <c r="G849" s="24"/>
      <c r="H849" s="24"/>
      <c r="I849" s="24"/>
      <c r="J849" s="24"/>
      <c r="K849" s="24"/>
      <c r="L849" s="24"/>
      <c r="M849" s="90"/>
    </row>
    <row r="850">
      <c r="A850" s="24"/>
      <c r="B850" s="24"/>
      <c r="C850" s="24"/>
      <c r="D850" s="24"/>
      <c r="E850" s="24"/>
      <c r="F850" s="24"/>
      <c r="G850" s="24"/>
      <c r="H850" s="24"/>
      <c r="I850" s="24"/>
      <c r="J850" s="24"/>
      <c r="K850" s="24"/>
      <c r="L850" s="24"/>
      <c r="M850" s="90"/>
    </row>
    <row r="851">
      <c r="A851" s="24"/>
      <c r="B851" s="24"/>
      <c r="C851" s="24"/>
      <c r="D851" s="24"/>
      <c r="E851" s="24"/>
      <c r="F851" s="24"/>
      <c r="G851" s="24"/>
      <c r="H851" s="24"/>
      <c r="I851" s="24"/>
      <c r="J851" s="24"/>
      <c r="K851" s="24"/>
      <c r="L851" s="24"/>
      <c r="M851" s="90"/>
    </row>
    <row r="852">
      <c r="A852" s="24"/>
      <c r="B852" s="24"/>
      <c r="C852" s="24"/>
      <c r="D852" s="24"/>
      <c r="E852" s="24"/>
      <c r="F852" s="24"/>
      <c r="G852" s="24"/>
      <c r="H852" s="24"/>
      <c r="I852" s="24"/>
      <c r="J852" s="24"/>
      <c r="K852" s="24"/>
      <c r="L852" s="24"/>
      <c r="M852" s="90"/>
    </row>
    <row r="853">
      <c r="A853" s="24"/>
      <c r="B853" s="24"/>
      <c r="C853" s="24"/>
      <c r="D853" s="24"/>
      <c r="E853" s="24"/>
      <c r="F853" s="24"/>
      <c r="G853" s="24"/>
      <c r="H853" s="24"/>
      <c r="I853" s="24"/>
      <c r="J853" s="24"/>
      <c r="K853" s="24"/>
      <c r="L853" s="24"/>
      <c r="M853" s="90"/>
    </row>
    <row r="854">
      <c r="A854" s="24"/>
      <c r="B854" s="24"/>
      <c r="C854" s="24"/>
      <c r="D854" s="24"/>
      <c r="E854" s="24"/>
      <c r="F854" s="24"/>
      <c r="G854" s="24"/>
      <c r="H854" s="24"/>
      <c r="I854" s="24"/>
      <c r="J854" s="24"/>
      <c r="K854" s="24"/>
      <c r="L854" s="24"/>
      <c r="M854" s="90"/>
    </row>
    <row r="855">
      <c r="A855" s="24"/>
      <c r="B855" s="24"/>
      <c r="C855" s="24"/>
      <c r="D855" s="24"/>
      <c r="E855" s="24"/>
      <c r="F855" s="24"/>
      <c r="G855" s="24"/>
      <c r="H855" s="24"/>
      <c r="I855" s="24"/>
      <c r="J855" s="24"/>
      <c r="K855" s="24"/>
      <c r="L855" s="24"/>
      <c r="M855" s="90"/>
    </row>
    <row r="856">
      <c r="A856" s="24"/>
      <c r="B856" s="24"/>
      <c r="C856" s="24"/>
      <c r="D856" s="24"/>
      <c r="E856" s="24"/>
      <c r="F856" s="24"/>
      <c r="G856" s="24"/>
      <c r="H856" s="24"/>
      <c r="I856" s="24"/>
      <c r="J856" s="24"/>
      <c r="K856" s="24"/>
      <c r="L856" s="24"/>
      <c r="M856" s="90"/>
    </row>
    <row r="857">
      <c r="A857" s="24"/>
      <c r="B857" s="24"/>
      <c r="C857" s="24"/>
      <c r="D857" s="24"/>
      <c r="E857" s="24"/>
      <c r="F857" s="24"/>
      <c r="G857" s="24"/>
      <c r="H857" s="24"/>
      <c r="I857" s="24"/>
      <c r="J857" s="24"/>
      <c r="K857" s="24"/>
      <c r="L857" s="24"/>
      <c r="M857" s="90"/>
    </row>
    <row r="858">
      <c r="A858" s="24"/>
      <c r="B858" s="24"/>
      <c r="C858" s="24"/>
      <c r="D858" s="24"/>
      <c r="E858" s="24"/>
      <c r="F858" s="24"/>
      <c r="G858" s="24"/>
      <c r="H858" s="24"/>
      <c r="I858" s="24"/>
      <c r="J858" s="24"/>
      <c r="K858" s="24"/>
      <c r="L858" s="24"/>
      <c r="M858" s="90"/>
    </row>
    <row r="859">
      <c r="A859" s="24"/>
      <c r="B859" s="24"/>
      <c r="C859" s="24"/>
      <c r="D859" s="24"/>
      <c r="E859" s="24"/>
      <c r="F859" s="24"/>
      <c r="G859" s="24"/>
      <c r="H859" s="24"/>
      <c r="I859" s="24"/>
      <c r="J859" s="24"/>
      <c r="K859" s="24"/>
      <c r="L859" s="24"/>
      <c r="M859" s="90"/>
    </row>
    <row r="860">
      <c r="A860" s="24"/>
      <c r="B860" s="24"/>
      <c r="C860" s="24"/>
      <c r="D860" s="24"/>
      <c r="E860" s="24"/>
      <c r="F860" s="24"/>
      <c r="G860" s="24"/>
      <c r="H860" s="24"/>
      <c r="I860" s="24"/>
      <c r="J860" s="24"/>
      <c r="K860" s="24"/>
      <c r="L860" s="24"/>
      <c r="M860" s="90"/>
    </row>
    <row r="861">
      <c r="A861" s="24"/>
      <c r="B861" s="24"/>
      <c r="C861" s="24"/>
      <c r="D861" s="24"/>
      <c r="E861" s="24"/>
      <c r="F861" s="24"/>
      <c r="G861" s="24"/>
      <c r="H861" s="24"/>
      <c r="I861" s="24"/>
      <c r="J861" s="24"/>
      <c r="K861" s="24"/>
      <c r="L861" s="24"/>
      <c r="M861" s="90"/>
    </row>
    <row r="862">
      <c r="A862" s="24"/>
      <c r="B862" s="24"/>
      <c r="C862" s="24"/>
      <c r="D862" s="24"/>
      <c r="E862" s="24"/>
      <c r="F862" s="24"/>
      <c r="G862" s="24"/>
      <c r="H862" s="24"/>
      <c r="I862" s="24"/>
      <c r="J862" s="24"/>
      <c r="K862" s="24"/>
      <c r="L862" s="24"/>
      <c r="M862" s="90"/>
    </row>
    <row r="863">
      <c r="A863" s="24"/>
      <c r="B863" s="24"/>
      <c r="C863" s="24"/>
      <c r="D863" s="24"/>
      <c r="E863" s="24"/>
      <c r="F863" s="24"/>
      <c r="G863" s="24"/>
      <c r="H863" s="24"/>
      <c r="I863" s="24"/>
      <c r="J863" s="24"/>
      <c r="K863" s="24"/>
      <c r="L863" s="24"/>
      <c r="M863" s="90"/>
    </row>
    <row r="864">
      <c r="A864" s="24"/>
      <c r="B864" s="24"/>
      <c r="C864" s="24"/>
      <c r="D864" s="24"/>
      <c r="E864" s="24"/>
      <c r="F864" s="24"/>
      <c r="G864" s="24"/>
      <c r="H864" s="24"/>
      <c r="I864" s="24"/>
      <c r="J864" s="24"/>
      <c r="K864" s="24"/>
      <c r="L864" s="24"/>
      <c r="M864" s="90"/>
    </row>
    <row r="865">
      <c r="A865" s="24"/>
      <c r="B865" s="24"/>
      <c r="C865" s="24"/>
      <c r="D865" s="24"/>
      <c r="E865" s="24"/>
      <c r="F865" s="24"/>
      <c r="G865" s="24"/>
      <c r="H865" s="24"/>
      <c r="I865" s="24"/>
      <c r="J865" s="24"/>
      <c r="K865" s="24"/>
      <c r="L865" s="24"/>
      <c r="M865" s="90"/>
    </row>
    <row r="866">
      <c r="A866" s="24"/>
      <c r="B866" s="24"/>
      <c r="C866" s="24"/>
      <c r="D866" s="24"/>
      <c r="E866" s="24"/>
      <c r="F866" s="24"/>
      <c r="G866" s="24"/>
      <c r="H866" s="24"/>
      <c r="I866" s="24"/>
      <c r="J866" s="24"/>
      <c r="K866" s="24"/>
      <c r="L866" s="24"/>
      <c r="M866" s="90"/>
    </row>
    <row r="867">
      <c r="A867" s="24"/>
      <c r="B867" s="24"/>
      <c r="C867" s="24"/>
      <c r="D867" s="24"/>
      <c r="E867" s="24"/>
      <c r="F867" s="24"/>
      <c r="G867" s="24"/>
      <c r="H867" s="24"/>
      <c r="I867" s="24"/>
      <c r="J867" s="24"/>
      <c r="K867" s="24"/>
      <c r="L867" s="24"/>
      <c r="M867" s="90"/>
    </row>
    <row r="868">
      <c r="A868" s="24"/>
      <c r="B868" s="24"/>
      <c r="C868" s="24"/>
      <c r="D868" s="24"/>
      <c r="E868" s="24"/>
      <c r="F868" s="24"/>
      <c r="G868" s="24"/>
      <c r="H868" s="24"/>
      <c r="I868" s="24"/>
      <c r="J868" s="24"/>
      <c r="K868" s="24"/>
      <c r="L868" s="24"/>
      <c r="M868" s="90"/>
    </row>
    <row r="869">
      <c r="A869" s="24"/>
      <c r="B869" s="24"/>
      <c r="C869" s="24"/>
      <c r="D869" s="24"/>
      <c r="E869" s="24"/>
      <c r="F869" s="24"/>
      <c r="G869" s="24"/>
      <c r="H869" s="24"/>
      <c r="I869" s="24"/>
      <c r="J869" s="24"/>
      <c r="K869" s="24"/>
      <c r="L869" s="24"/>
      <c r="M869" s="90"/>
    </row>
    <row r="870">
      <c r="A870" s="24"/>
      <c r="B870" s="24"/>
      <c r="C870" s="24"/>
      <c r="D870" s="24"/>
      <c r="E870" s="24"/>
      <c r="F870" s="24"/>
      <c r="G870" s="24"/>
      <c r="H870" s="24"/>
      <c r="I870" s="24"/>
      <c r="J870" s="24"/>
      <c r="K870" s="24"/>
      <c r="L870" s="24"/>
      <c r="M870" s="90"/>
    </row>
    <row r="871">
      <c r="A871" s="24"/>
      <c r="B871" s="24"/>
      <c r="C871" s="24"/>
      <c r="D871" s="24"/>
      <c r="E871" s="24"/>
      <c r="F871" s="24"/>
      <c r="G871" s="24"/>
      <c r="H871" s="24"/>
      <c r="I871" s="24"/>
      <c r="J871" s="24"/>
      <c r="K871" s="24"/>
      <c r="L871" s="24"/>
      <c r="M871" s="90"/>
    </row>
    <row r="872">
      <c r="A872" s="24"/>
      <c r="B872" s="24"/>
      <c r="C872" s="24"/>
      <c r="D872" s="24"/>
      <c r="E872" s="24"/>
      <c r="F872" s="24"/>
      <c r="G872" s="24"/>
      <c r="H872" s="24"/>
      <c r="I872" s="24"/>
      <c r="J872" s="24"/>
      <c r="K872" s="24"/>
      <c r="L872" s="24"/>
      <c r="M872" s="90"/>
    </row>
    <row r="873">
      <c r="A873" s="24"/>
      <c r="B873" s="24"/>
      <c r="C873" s="24"/>
      <c r="D873" s="24"/>
      <c r="E873" s="24"/>
      <c r="F873" s="24"/>
      <c r="G873" s="24"/>
      <c r="H873" s="24"/>
      <c r="I873" s="24"/>
      <c r="J873" s="24"/>
      <c r="K873" s="24"/>
      <c r="L873" s="24"/>
      <c r="M873" s="90"/>
    </row>
    <row r="874">
      <c r="A874" s="24"/>
      <c r="B874" s="24"/>
      <c r="C874" s="24"/>
      <c r="D874" s="24"/>
      <c r="E874" s="24"/>
      <c r="F874" s="24"/>
      <c r="G874" s="24"/>
      <c r="H874" s="24"/>
      <c r="I874" s="24"/>
      <c r="J874" s="24"/>
      <c r="K874" s="24"/>
      <c r="L874" s="24"/>
      <c r="M874" s="90"/>
    </row>
    <row r="875">
      <c r="A875" s="24"/>
      <c r="B875" s="24"/>
      <c r="C875" s="24"/>
      <c r="D875" s="24"/>
      <c r="E875" s="24"/>
      <c r="F875" s="24"/>
      <c r="G875" s="24"/>
      <c r="H875" s="24"/>
      <c r="I875" s="24"/>
      <c r="J875" s="24"/>
      <c r="K875" s="24"/>
      <c r="L875" s="24"/>
      <c r="M875" s="90"/>
    </row>
    <row r="876">
      <c r="A876" s="24"/>
      <c r="B876" s="24"/>
      <c r="C876" s="24"/>
      <c r="D876" s="24"/>
      <c r="E876" s="24"/>
      <c r="F876" s="24"/>
      <c r="G876" s="24"/>
      <c r="H876" s="24"/>
      <c r="I876" s="24"/>
      <c r="J876" s="24"/>
      <c r="K876" s="24"/>
      <c r="L876" s="24"/>
      <c r="M876" s="90"/>
    </row>
    <row r="877">
      <c r="A877" s="24"/>
      <c r="B877" s="24"/>
      <c r="C877" s="24"/>
      <c r="D877" s="24"/>
      <c r="E877" s="24"/>
      <c r="F877" s="24"/>
      <c r="G877" s="24"/>
      <c r="H877" s="24"/>
      <c r="I877" s="24"/>
      <c r="J877" s="24"/>
      <c r="K877" s="24"/>
      <c r="L877" s="24"/>
      <c r="M877" s="90"/>
    </row>
    <row r="878">
      <c r="A878" s="24"/>
      <c r="B878" s="24"/>
      <c r="C878" s="24"/>
      <c r="D878" s="24"/>
      <c r="E878" s="24"/>
      <c r="F878" s="24"/>
      <c r="G878" s="24"/>
      <c r="H878" s="24"/>
      <c r="I878" s="24"/>
      <c r="J878" s="24"/>
      <c r="K878" s="24"/>
      <c r="L878" s="24"/>
      <c r="M878" s="90"/>
    </row>
    <row r="879">
      <c r="A879" s="24"/>
      <c r="B879" s="24"/>
      <c r="C879" s="24"/>
      <c r="D879" s="24"/>
      <c r="E879" s="24"/>
      <c r="F879" s="24"/>
      <c r="G879" s="24"/>
      <c r="H879" s="24"/>
      <c r="I879" s="24"/>
      <c r="J879" s="24"/>
      <c r="K879" s="24"/>
      <c r="L879" s="24"/>
      <c r="M879" s="90"/>
    </row>
    <row r="880">
      <c r="A880" s="24"/>
      <c r="B880" s="24"/>
      <c r="C880" s="24"/>
      <c r="D880" s="24"/>
      <c r="E880" s="24"/>
      <c r="F880" s="24"/>
      <c r="G880" s="24"/>
      <c r="H880" s="24"/>
      <c r="I880" s="24"/>
      <c r="J880" s="24"/>
      <c r="K880" s="24"/>
      <c r="L880" s="24"/>
      <c r="M880" s="90"/>
    </row>
    <row r="881">
      <c r="A881" s="24"/>
      <c r="B881" s="24"/>
      <c r="C881" s="24"/>
      <c r="D881" s="24"/>
      <c r="E881" s="24"/>
      <c r="F881" s="24"/>
      <c r="G881" s="24"/>
      <c r="H881" s="24"/>
      <c r="I881" s="24"/>
      <c r="J881" s="24"/>
      <c r="K881" s="24"/>
      <c r="L881" s="24"/>
      <c r="M881" s="90"/>
    </row>
    <row r="882">
      <c r="A882" s="24"/>
      <c r="B882" s="24"/>
      <c r="C882" s="24"/>
      <c r="D882" s="24"/>
      <c r="E882" s="24"/>
      <c r="F882" s="24"/>
      <c r="G882" s="24"/>
      <c r="H882" s="24"/>
      <c r="I882" s="24"/>
      <c r="J882" s="24"/>
      <c r="K882" s="24"/>
      <c r="L882" s="24"/>
      <c r="M882" s="90"/>
    </row>
    <row r="883">
      <c r="A883" s="24"/>
      <c r="B883" s="24"/>
      <c r="C883" s="24"/>
      <c r="D883" s="24"/>
      <c r="E883" s="24"/>
      <c r="F883" s="24"/>
      <c r="G883" s="24"/>
      <c r="H883" s="24"/>
      <c r="I883" s="24"/>
      <c r="J883" s="24"/>
      <c r="K883" s="24"/>
      <c r="L883" s="24"/>
      <c r="M883" s="90"/>
    </row>
    <row r="884">
      <c r="A884" s="24"/>
      <c r="B884" s="24"/>
      <c r="C884" s="24"/>
      <c r="D884" s="24"/>
      <c r="E884" s="24"/>
      <c r="F884" s="24"/>
      <c r="G884" s="24"/>
      <c r="H884" s="24"/>
      <c r="I884" s="24"/>
      <c r="J884" s="24"/>
      <c r="K884" s="24"/>
      <c r="L884" s="24"/>
      <c r="M884" s="90"/>
    </row>
    <row r="885">
      <c r="A885" s="24"/>
      <c r="B885" s="24"/>
      <c r="C885" s="24"/>
      <c r="D885" s="24"/>
      <c r="E885" s="24"/>
      <c r="F885" s="24"/>
      <c r="G885" s="24"/>
      <c r="H885" s="24"/>
      <c r="I885" s="24"/>
      <c r="J885" s="24"/>
      <c r="K885" s="24"/>
      <c r="L885" s="24"/>
      <c r="M885" s="90"/>
    </row>
    <row r="886">
      <c r="A886" s="24"/>
      <c r="B886" s="24"/>
      <c r="C886" s="24"/>
      <c r="D886" s="24"/>
      <c r="E886" s="24"/>
      <c r="F886" s="24"/>
      <c r="G886" s="24"/>
      <c r="H886" s="24"/>
      <c r="I886" s="24"/>
      <c r="J886" s="24"/>
      <c r="K886" s="24"/>
      <c r="L886" s="24"/>
      <c r="M886" s="90"/>
    </row>
    <row r="887">
      <c r="A887" s="24"/>
      <c r="B887" s="24"/>
      <c r="C887" s="24"/>
      <c r="D887" s="24"/>
      <c r="E887" s="24"/>
      <c r="F887" s="24"/>
      <c r="G887" s="24"/>
      <c r="H887" s="24"/>
      <c r="I887" s="24"/>
      <c r="J887" s="24"/>
      <c r="K887" s="24"/>
      <c r="L887" s="24"/>
      <c r="M887" s="90"/>
    </row>
    <row r="888">
      <c r="A888" s="24"/>
      <c r="B888" s="24"/>
      <c r="C888" s="24"/>
      <c r="D888" s="24"/>
      <c r="E888" s="24"/>
      <c r="F888" s="24"/>
      <c r="G888" s="24"/>
      <c r="H888" s="24"/>
      <c r="I888" s="24"/>
      <c r="J888" s="24"/>
      <c r="K888" s="24"/>
      <c r="L888" s="24"/>
      <c r="M888" s="90"/>
    </row>
    <row r="889">
      <c r="A889" s="24"/>
      <c r="B889" s="24"/>
      <c r="C889" s="24"/>
      <c r="D889" s="24"/>
      <c r="E889" s="24"/>
      <c r="F889" s="24"/>
      <c r="G889" s="24"/>
      <c r="H889" s="24"/>
      <c r="I889" s="24"/>
      <c r="J889" s="24"/>
      <c r="K889" s="24"/>
      <c r="L889" s="24"/>
      <c r="M889" s="90"/>
    </row>
    <row r="890">
      <c r="A890" s="24"/>
      <c r="B890" s="24"/>
      <c r="C890" s="24"/>
      <c r="D890" s="24"/>
      <c r="E890" s="24"/>
      <c r="F890" s="24"/>
      <c r="G890" s="24"/>
      <c r="H890" s="24"/>
      <c r="I890" s="24"/>
      <c r="J890" s="24"/>
      <c r="K890" s="24"/>
      <c r="L890" s="24"/>
      <c r="M890" s="90"/>
    </row>
    <row r="891">
      <c r="A891" s="24"/>
      <c r="B891" s="24"/>
      <c r="C891" s="24"/>
      <c r="D891" s="24"/>
      <c r="E891" s="24"/>
      <c r="F891" s="24"/>
      <c r="G891" s="24"/>
      <c r="H891" s="24"/>
      <c r="I891" s="24"/>
      <c r="J891" s="24"/>
      <c r="K891" s="24"/>
      <c r="L891" s="24"/>
      <c r="M891" s="90"/>
    </row>
    <row r="892">
      <c r="A892" s="24"/>
      <c r="B892" s="24"/>
      <c r="C892" s="24"/>
      <c r="D892" s="24"/>
      <c r="E892" s="24"/>
      <c r="F892" s="24"/>
      <c r="G892" s="24"/>
      <c r="H892" s="24"/>
      <c r="I892" s="24"/>
      <c r="J892" s="24"/>
      <c r="K892" s="24"/>
      <c r="L892" s="24"/>
      <c r="M892" s="90"/>
    </row>
    <row r="893">
      <c r="A893" s="24"/>
      <c r="B893" s="24"/>
      <c r="C893" s="24"/>
      <c r="D893" s="24"/>
      <c r="E893" s="24"/>
      <c r="F893" s="24"/>
      <c r="G893" s="24"/>
      <c r="H893" s="24"/>
      <c r="I893" s="24"/>
      <c r="J893" s="24"/>
      <c r="K893" s="24"/>
      <c r="L893" s="24"/>
      <c r="M893" s="90"/>
    </row>
    <row r="894">
      <c r="A894" s="24"/>
      <c r="B894" s="24"/>
      <c r="C894" s="24"/>
      <c r="D894" s="24"/>
      <c r="E894" s="24"/>
      <c r="F894" s="24"/>
      <c r="G894" s="24"/>
      <c r="H894" s="24"/>
      <c r="I894" s="24"/>
      <c r="J894" s="24"/>
      <c r="K894" s="24"/>
      <c r="L894" s="24"/>
      <c r="M894" s="90"/>
    </row>
    <row r="895">
      <c r="A895" s="24"/>
      <c r="B895" s="24"/>
      <c r="C895" s="24"/>
      <c r="D895" s="24"/>
      <c r="E895" s="24"/>
      <c r="F895" s="24"/>
      <c r="G895" s="24"/>
      <c r="H895" s="24"/>
      <c r="I895" s="24"/>
      <c r="J895" s="24"/>
      <c r="K895" s="24"/>
      <c r="L895" s="24"/>
      <c r="M895" s="90"/>
    </row>
    <row r="896">
      <c r="A896" s="24"/>
      <c r="B896" s="24"/>
      <c r="C896" s="24"/>
      <c r="D896" s="24"/>
      <c r="E896" s="24"/>
      <c r="F896" s="24"/>
      <c r="G896" s="24"/>
      <c r="H896" s="24"/>
      <c r="I896" s="24"/>
      <c r="J896" s="24"/>
      <c r="K896" s="24"/>
      <c r="L896" s="24"/>
      <c r="M896" s="90"/>
    </row>
    <row r="897">
      <c r="A897" s="24"/>
      <c r="B897" s="24"/>
      <c r="C897" s="24"/>
      <c r="D897" s="24"/>
      <c r="E897" s="24"/>
      <c r="F897" s="24"/>
      <c r="G897" s="24"/>
      <c r="H897" s="24"/>
      <c r="I897" s="24"/>
      <c r="J897" s="24"/>
      <c r="K897" s="24"/>
      <c r="L897" s="24"/>
      <c r="M897" s="90"/>
    </row>
    <row r="898">
      <c r="A898" s="24"/>
      <c r="B898" s="24"/>
      <c r="C898" s="24"/>
      <c r="D898" s="24"/>
      <c r="E898" s="24"/>
      <c r="F898" s="24"/>
      <c r="G898" s="24"/>
      <c r="H898" s="24"/>
      <c r="I898" s="24"/>
      <c r="J898" s="24"/>
      <c r="K898" s="24"/>
      <c r="L898" s="24"/>
      <c r="M898" s="90"/>
    </row>
    <row r="899">
      <c r="A899" s="24"/>
      <c r="B899" s="24"/>
      <c r="C899" s="24"/>
      <c r="D899" s="24"/>
      <c r="E899" s="24"/>
      <c r="F899" s="24"/>
      <c r="G899" s="24"/>
      <c r="H899" s="24"/>
      <c r="I899" s="24"/>
      <c r="J899" s="24"/>
      <c r="K899" s="24"/>
      <c r="L899" s="24"/>
      <c r="M899" s="90"/>
    </row>
    <row r="900">
      <c r="A900" s="24"/>
      <c r="B900" s="24"/>
      <c r="C900" s="24"/>
      <c r="D900" s="24"/>
      <c r="E900" s="24"/>
      <c r="F900" s="24"/>
      <c r="G900" s="24"/>
      <c r="H900" s="24"/>
      <c r="I900" s="24"/>
      <c r="J900" s="24"/>
      <c r="K900" s="24"/>
      <c r="L900" s="24"/>
      <c r="M900" s="90"/>
    </row>
    <row r="901">
      <c r="A901" s="24"/>
      <c r="B901" s="24"/>
      <c r="C901" s="24"/>
      <c r="D901" s="24"/>
      <c r="E901" s="24"/>
      <c r="F901" s="24"/>
      <c r="G901" s="24"/>
      <c r="H901" s="24"/>
      <c r="I901" s="24"/>
      <c r="J901" s="24"/>
      <c r="K901" s="24"/>
      <c r="L901" s="24"/>
      <c r="M901" s="90"/>
    </row>
    <row r="902">
      <c r="A902" s="24"/>
      <c r="B902" s="24"/>
      <c r="C902" s="24"/>
      <c r="D902" s="24"/>
      <c r="E902" s="24"/>
      <c r="F902" s="24"/>
      <c r="G902" s="24"/>
      <c r="H902" s="24"/>
      <c r="I902" s="24"/>
      <c r="J902" s="24"/>
      <c r="K902" s="24"/>
      <c r="L902" s="24"/>
      <c r="M902" s="90"/>
    </row>
    <row r="903">
      <c r="A903" s="24"/>
      <c r="B903" s="24"/>
      <c r="C903" s="24"/>
      <c r="D903" s="24"/>
      <c r="E903" s="24"/>
      <c r="F903" s="24"/>
      <c r="G903" s="24"/>
      <c r="H903" s="24"/>
      <c r="I903" s="24"/>
      <c r="J903" s="24"/>
      <c r="K903" s="24"/>
      <c r="L903" s="24"/>
      <c r="M903" s="90"/>
    </row>
    <row r="904">
      <c r="A904" s="24"/>
      <c r="B904" s="24"/>
      <c r="C904" s="24"/>
      <c r="D904" s="24"/>
      <c r="E904" s="24"/>
      <c r="F904" s="24"/>
      <c r="G904" s="24"/>
      <c r="H904" s="24"/>
      <c r="I904" s="24"/>
      <c r="J904" s="24"/>
      <c r="K904" s="24"/>
      <c r="L904" s="24"/>
      <c r="M904" s="90"/>
    </row>
    <row r="905">
      <c r="A905" s="24"/>
      <c r="B905" s="24"/>
      <c r="C905" s="24"/>
      <c r="D905" s="24"/>
      <c r="E905" s="24"/>
      <c r="F905" s="24"/>
      <c r="G905" s="24"/>
      <c r="H905" s="24"/>
      <c r="I905" s="24"/>
      <c r="J905" s="24"/>
      <c r="K905" s="24"/>
      <c r="L905" s="24"/>
      <c r="M905" s="90"/>
    </row>
    <row r="906">
      <c r="A906" s="24"/>
      <c r="B906" s="24"/>
      <c r="C906" s="24"/>
      <c r="D906" s="24"/>
      <c r="E906" s="24"/>
      <c r="F906" s="24"/>
      <c r="G906" s="24"/>
      <c r="H906" s="24"/>
      <c r="I906" s="24"/>
      <c r="J906" s="24"/>
      <c r="K906" s="24"/>
      <c r="L906" s="24"/>
      <c r="M906" s="90"/>
    </row>
    <row r="907">
      <c r="A907" s="24"/>
      <c r="B907" s="24"/>
      <c r="C907" s="24"/>
      <c r="D907" s="24"/>
      <c r="E907" s="24"/>
      <c r="F907" s="24"/>
      <c r="G907" s="24"/>
      <c r="H907" s="24"/>
      <c r="I907" s="24"/>
      <c r="J907" s="24"/>
      <c r="K907" s="24"/>
      <c r="L907" s="24"/>
      <c r="M907" s="90"/>
    </row>
    <row r="908">
      <c r="A908" s="24"/>
      <c r="B908" s="24"/>
      <c r="C908" s="24"/>
      <c r="D908" s="24"/>
      <c r="E908" s="24"/>
      <c r="F908" s="24"/>
      <c r="G908" s="24"/>
      <c r="H908" s="24"/>
      <c r="I908" s="24"/>
      <c r="J908" s="24"/>
      <c r="K908" s="24"/>
      <c r="L908" s="24"/>
      <c r="M908" s="90"/>
    </row>
    <row r="909">
      <c r="A909" s="24"/>
      <c r="B909" s="24"/>
      <c r="C909" s="24"/>
      <c r="D909" s="24"/>
      <c r="E909" s="24"/>
      <c r="F909" s="24"/>
      <c r="G909" s="24"/>
      <c r="H909" s="24"/>
      <c r="I909" s="24"/>
      <c r="J909" s="24"/>
      <c r="K909" s="24"/>
      <c r="L909" s="24"/>
      <c r="M909" s="90"/>
    </row>
    <row r="910">
      <c r="A910" s="24"/>
      <c r="B910" s="24"/>
      <c r="C910" s="24"/>
      <c r="D910" s="24"/>
      <c r="E910" s="24"/>
      <c r="F910" s="24"/>
      <c r="G910" s="24"/>
      <c r="H910" s="24"/>
      <c r="I910" s="24"/>
      <c r="J910" s="24"/>
      <c r="K910" s="24"/>
      <c r="L910" s="24"/>
      <c r="M910" s="90"/>
    </row>
    <row r="911">
      <c r="A911" s="24"/>
      <c r="B911" s="24"/>
      <c r="C911" s="24"/>
      <c r="D911" s="24"/>
      <c r="E911" s="24"/>
      <c r="F911" s="24"/>
      <c r="G911" s="24"/>
      <c r="H911" s="24"/>
      <c r="I911" s="24"/>
      <c r="J911" s="24"/>
      <c r="K911" s="24"/>
      <c r="L911" s="24"/>
      <c r="M911" s="90"/>
    </row>
    <row r="912">
      <c r="A912" s="24"/>
      <c r="B912" s="24"/>
      <c r="C912" s="24"/>
      <c r="D912" s="24"/>
      <c r="E912" s="24"/>
      <c r="F912" s="24"/>
      <c r="G912" s="24"/>
      <c r="H912" s="24"/>
      <c r="I912" s="24"/>
      <c r="J912" s="24"/>
      <c r="K912" s="24"/>
      <c r="L912" s="24"/>
      <c r="M912" s="90"/>
    </row>
    <row r="913">
      <c r="A913" s="24"/>
      <c r="B913" s="24"/>
      <c r="C913" s="24"/>
      <c r="D913" s="24"/>
      <c r="E913" s="24"/>
      <c r="F913" s="24"/>
      <c r="G913" s="24"/>
      <c r="H913" s="24"/>
      <c r="I913" s="24"/>
      <c r="J913" s="24"/>
      <c r="K913" s="24"/>
      <c r="L913" s="24"/>
      <c r="M913" s="90"/>
    </row>
    <row r="914">
      <c r="A914" s="24"/>
      <c r="B914" s="24"/>
      <c r="C914" s="24"/>
      <c r="D914" s="24"/>
      <c r="E914" s="24"/>
      <c r="F914" s="24"/>
      <c r="G914" s="24"/>
      <c r="H914" s="24"/>
      <c r="I914" s="24"/>
      <c r="J914" s="24"/>
      <c r="K914" s="24"/>
      <c r="L914" s="24"/>
      <c r="M914" s="90"/>
    </row>
    <row r="915">
      <c r="A915" s="24"/>
      <c r="B915" s="24"/>
      <c r="C915" s="24"/>
      <c r="D915" s="24"/>
      <c r="E915" s="24"/>
      <c r="F915" s="24"/>
      <c r="G915" s="24"/>
      <c r="H915" s="24"/>
      <c r="I915" s="24"/>
      <c r="J915" s="24"/>
      <c r="K915" s="24"/>
      <c r="L915" s="24"/>
      <c r="M915" s="90"/>
    </row>
    <row r="916">
      <c r="A916" s="24"/>
      <c r="B916" s="24"/>
      <c r="C916" s="24"/>
      <c r="D916" s="24"/>
      <c r="E916" s="24"/>
      <c r="F916" s="24"/>
      <c r="G916" s="24"/>
      <c r="H916" s="24"/>
      <c r="I916" s="24"/>
      <c r="J916" s="24"/>
      <c r="K916" s="24"/>
      <c r="L916" s="24"/>
      <c r="M916" s="90"/>
    </row>
    <row r="917">
      <c r="A917" s="24"/>
      <c r="B917" s="24"/>
      <c r="C917" s="24"/>
      <c r="D917" s="24"/>
      <c r="E917" s="24"/>
      <c r="F917" s="24"/>
      <c r="G917" s="24"/>
      <c r="H917" s="24"/>
      <c r="I917" s="24"/>
      <c r="J917" s="24"/>
      <c r="K917" s="24"/>
      <c r="L917" s="24"/>
      <c r="M917" s="90"/>
    </row>
    <row r="918">
      <c r="A918" s="24"/>
      <c r="B918" s="24"/>
      <c r="C918" s="24"/>
      <c r="D918" s="24"/>
      <c r="E918" s="24"/>
      <c r="F918" s="24"/>
      <c r="G918" s="24"/>
      <c r="H918" s="24"/>
      <c r="I918" s="24"/>
      <c r="J918" s="24"/>
      <c r="K918" s="24"/>
      <c r="L918" s="24"/>
      <c r="M918" s="90"/>
    </row>
    <row r="919">
      <c r="A919" s="24"/>
      <c r="B919" s="24"/>
      <c r="C919" s="24"/>
      <c r="D919" s="24"/>
      <c r="E919" s="24"/>
      <c r="F919" s="24"/>
      <c r="G919" s="24"/>
      <c r="H919" s="24"/>
      <c r="I919" s="24"/>
      <c r="J919" s="24"/>
      <c r="K919" s="24"/>
      <c r="L919" s="24"/>
      <c r="M919" s="90"/>
    </row>
    <row r="920">
      <c r="A920" s="24"/>
      <c r="B920" s="24"/>
      <c r="C920" s="24"/>
      <c r="D920" s="24"/>
      <c r="E920" s="24"/>
      <c r="F920" s="24"/>
      <c r="G920" s="24"/>
      <c r="H920" s="24"/>
      <c r="I920" s="24"/>
      <c r="J920" s="24"/>
      <c r="K920" s="24"/>
      <c r="L920" s="24"/>
      <c r="M920" s="90"/>
    </row>
    <row r="921">
      <c r="A921" s="24"/>
      <c r="B921" s="24"/>
      <c r="C921" s="24"/>
      <c r="D921" s="24"/>
      <c r="E921" s="24"/>
      <c r="F921" s="24"/>
      <c r="G921" s="24"/>
      <c r="H921" s="24"/>
      <c r="I921" s="24"/>
      <c r="J921" s="24"/>
      <c r="K921" s="24"/>
      <c r="L921" s="24"/>
      <c r="M921" s="90"/>
    </row>
    <row r="922">
      <c r="A922" s="24"/>
      <c r="B922" s="24"/>
      <c r="C922" s="24"/>
      <c r="D922" s="24"/>
      <c r="E922" s="24"/>
      <c r="F922" s="24"/>
      <c r="G922" s="24"/>
      <c r="H922" s="24"/>
      <c r="I922" s="24"/>
      <c r="J922" s="24"/>
      <c r="K922" s="24"/>
      <c r="L922" s="24"/>
      <c r="M922" s="90"/>
    </row>
    <row r="923">
      <c r="A923" s="24"/>
      <c r="B923" s="24"/>
      <c r="C923" s="24"/>
      <c r="D923" s="24"/>
      <c r="E923" s="24"/>
      <c r="F923" s="24"/>
      <c r="G923" s="24"/>
      <c r="H923" s="24"/>
      <c r="I923" s="24"/>
      <c r="J923" s="24"/>
      <c r="K923" s="24"/>
      <c r="L923" s="24"/>
      <c r="M923" s="90"/>
    </row>
    <row r="924">
      <c r="A924" s="24"/>
      <c r="B924" s="24"/>
      <c r="C924" s="24"/>
      <c r="D924" s="24"/>
      <c r="E924" s="24"/>
      <c r="F924" s="24"/>
      <c r="G924" s="24"/>
      <c r="H924" s="24"/>
      <c r="I924" s="24"/>
      <c r="J924" s="24"/>
      <c r="K924" s="24"/>
      <c r="L924" s="24"/>
      <c r="M924" s="90"/>
    </row>
    <row r="925">
      <c r="A925" s="24"/>
      <c r="B925" s="24"/>
      <c r="C925" s="24"/>
      <c r="D925" s="24"/>
      <c r="E925" s="24"/>
      <c r="F925" s="24"/>
      <c r="G925" s="24"/>
      <c r="H925" s="24"/>
      <c r="I925" s="24"/>
      <c r="J925" s="24"/>
      <c r="K925" s="24"/>
      <c r="L925" s="24"/>
      <c r="M925" s="90"/>
    </row>
    <row r="926">
      <c r="A926" s="24"/>
      <c r="B926" s="24"/>
      <c r="C926" s="24"/>
      <c r="D926" s="24"/>
      <c r="E926" s="24"/>
      <c r="F926" s="24"/>
      <c r="G926" s="24"/>
      <c r="H926" s="24"/>
      <c r="I926" s="24"/>
      <c r="J926" s="24"/>
      <c r="K926" s="24"/>
      <c r="L926" s="24"/>
      <c r="M926" s="90"/>
    </row>
    <row r="927">
      <c r="A927" s="24"/>
      <c r="B927" s="24"/>
      <c r="C927" s="24"/>
      <c r="D927" s="24"/>
      <c r="E927" s="24"/>
      <c r="F927" s="24"/>
      <c r="G927" s="24"/>
      <c r="H927" s="24"/>
      <c r="I927" s="24"/>
      <c r="J927" s="24"/>
      <c r="K927" s="24"/>
      <c r="L927" s="24"/>
      <c r="M927" s="90"/>
    </row>
    <row r="928">
      <c r="A928" s="24"/>
      <c r="B928" s="24"/>
      <c r="C928" s="24"/>
      <c r="D928" s="24"/>
      <c r="E928" s="24"/>
      <c r="F928" s="24"/>
      <c r="G928" s="24"/>
      <c r="H928" s="24"/>
      <c r="I928" s="24"/>
      <c r="J928" s="24"/>
      <c r="K928" s="24"/>
      <c r="L928" s="24"/>
      <c r="M928" s="90"/>
    </row>
    <row r="929">
      <c r="A929" s="24"/>
      <c r="B929" s="24"/>
      <c r="C929" s="24"/>
      <c r="D929" s="24"/>
      <c r="E929" s="24"/>
      <c r="F929" s="24"/>
      <c r="G929" s="24"/>
      <c r="H929" s="24"/>
      <c r="I929" s="24"/>
      <c r="J929" s="24"/>
      <c r="K929" s="24"/>
      <c r="L929" s="24"/>
      <c r="M929" s="90"/>
    </row>
    <row r="930">
      <c r="A930" s="24"/>
      <c r="B930" s="24"/>
      <c r="C930" s="24"/>
      <c r="D930" s="24"/>
      <c r="E930" s="24"/>
      <c r="F930" s="24"/>
      <c r="G930" s="24"/>
      <c r="H930" s="24"/>
      <c r="I930" s="24"/>
      <c r="J930" s="24"/>
      <c r="K930" s="24"/>
      <c r="L930" s="24"/>
      <c r="M930" s="90"/>
    </row>
    <row r="931">
      <c r="A931" s="24"/>
      <c r="B931" s="24"/>
      <c r="C931" s="24"/>
      <c r="D931" s="24"/>
      <c r="E931" s="24"/>
      <c r="F931" s="24"/>
      <c r="G931" s="24"/>
      <c r="H931" s="24"/>
      <c r="I931" s="24"/>
      <c r="J931" s="24"/>
      <c r="K931" s="24"/>
      <c r="L931" s="24"/>
      <c r="M931" s="90"/>
    </row>
    <row r="932">
      <c r="A932" s="24"/>
      <c r="B932" s="24"/>
      <c r="C932" s="24"/>
      <c r="D932" s="24"/>
      <c r="E932" s="24"/>
      <c r="F932" s="24"/>
      <c r="G932" s="24"/>
      <c r="H932" s="24"/>
      <c r="I932" s="24"/>
      <c r="J932" s="24"/>
      <c r="K932" s="24"/>
      <c r="L932" s="24"/>
      <c r="M932" s="90"/>
    </row>
    <row r="933">
      <c r="A933" s="24"/>
      <c r="B933" s="24"/>
      <c r="C933" s="24"/>
      <c r="D933" s="24"/>
      <c r="E933" s="24"/>
      <c r="F933" s="24"/>
      <c r="G933" s="24"/>
      <c r="H933" s="24"/>
      <c r="I933" s="24"/>
      <c r="J933" s="24"/>
      <c r="K933" s="24"/>
      <c r="L933" s="24"/>
      <c r="M933" s="90"/>
    </row>
    <row r="934">
      <c r="A934" s="24"/>
      <c r="B934" s="24"/>
      <c r="C934" s="24"/>
      <c r="D934" s="24"/>
      <c r="E934" s="24"/>
      <c r="F934" s="24"/>
      <c r="G934" s="24"/>
      <c r="H934" s="24"/>
      <c r="I934" s="24"/>
      <c r="J934" s="24"/>
      <c r="K934" s="24"/>
      <c r="L934" s="24"/>
      <c r="M934" s="90"/>
    </row>
    <row r="935">
      <c r="A935" s="24"/>
      <c r="B935" s="24"/>
      <c r="C935" s="24"/>
      <c r="D935" s="24"/>
      <c r="E935" s="24"/>
      <c r="F935" s="24"/>
      <c r="G935" s="24"/>
      <c r="H935" s="24"/>
      <c r="I935" s="24"/>
      <c r="J935" s="24"/>
      <c r="K935" s="24"/>
      <c r="L935" s="24"/>
      <c r="M935" s="90"/>
    </row>
    <row r="936">
      <c r="A936" s="24"/>
      <c r="B936" s="24"/>
      <c r="C936" s="24"/>
      <c r="D936" s="24"/>
      <c r="E936" s="24"/>
      <c r="F936" s="24"/>
      <c r="G936" s="24"/>
      <c r="H936" s="24"/>
      <c r="I936" s="24"/>
      <c r="J936" s="24"/>
      <c r="K936" s="24"/>
      <c r="L936" s="24"/>
      <c r="M936" s="90"/>
    </row>
    <row r="937">
      <c r="A937" s="24"/>
      <c r="B937" s="24"/>
      <c r="C937" s="24"/>
      <c r="D937" s="24"/>
      <c r="E937" s="24"/>
      <c r="F937" s="24"/>
      <c r="G937" s="24"/>
      <c r="H937" s="24"/>
      <c r="I937" s="24"/>
      <c r="J937" s="24"/>
      <c r="K937" s="24"/>
      <c r="L937" s="24"/>
      <c r="M937" s="90"/>
    </row>
    <row r="938">
      <c r="A938" s="24"/>
      <c r="B938" s="24"/>
      <c r="C938" s="24"/>
      <c r="D938" s="24"/>
      <c r="E938" s="24"/>
      <c r="F938" s="24"/>
      <c r="G938" s="24"/>
      <c r="H938" s="24"/>
      <c r="I938" s="24"/>
      <c r="J938" s="24"/>
      <c r="K938" s="24"/>
      <c r="L938" s="24"/>
      <c r="M938" s="90"/>
    </row>
    <row r="939">
      <c r="A939" s="24"/>
      <c r="B939" s="24"/>
      <c r="C939" s="24"/>
      <c r="D939" s="24"/>
      <c r="E939" s="24"/>
      <c r="F939" s="24"/>
      <c r="G939" s="24"/>
      <c r="H939" s="24"/>
      <c r="I939" s="24"/>
      <c r="J939" s="24"/>
      <c r="K939" s="24"/>
      <c r="L939" s="24"/>
      <c r="M939" s="90"/>
    </row>
    <row r="940">
      <c r="A940" s="24"/>
      <c r="B940" s="24"/>
      <c r="C940" s="24"/>
      <c r="D940" s="24"/>
      <c r="E940" s="24"/>
      <c r="F940" s="24"/>
      <c r="G940" s="24"/>
      <c r="H940" s="24"/>
      <c r="I940" s="24"/>
      <c r="J940" s="24"/>
      <c r="K940" s="24"/>
      <c r="L940" s="24"/>
      <c r="M940" s="90"/>
    </row>
    <row r="941">
      <c r="A941" s="24"/>
      <c r="B941" s="24"/>
      <c r="C941" s="24"/>
      <c r="D941" s="24"/>
      <c r="E941" s="24"/>
      <c r="F941" s="24"/>
      <c r="G941" s="24"/>
      <c r="H941" s="24"/>
      <c r="I941" s="24"/>
      <c r="J941" s="24"/>
      <c r="K941" s="24"/>
      <c r="L941" s="24"/>
      <c r="M941" s="90"/>
    </row>
    <row r="942">
      <c r="A942" s="24"/>
      <c r="B942" s="24"/>
      <c r="C942" s="24"/>
      <c r="D942" s="24"/>
      <c r="E942" s="24"/>
      <c r="F942" s="24"/>
      <c r="G942" s="24"/>
      <c r="H942" s="24"/>
      <c r="I942" s="24"/>
      <c r="J942" s="24"/>
      <c r="K942" s="24"/>
      <c r="L942" s="24"/>
      <c r="M942" s="90"/>
    </row>
    <row r="943">
      <c r="A943" s="24"/>
      <c r="B943" s="24"/>
      <c r="C943" s="24"/>
      <c r="D943" s="24"/>
      <c r="E943" s="24"/>
      <c r="F943" s="24"/>
      <c r="G943" s="24"/>
      <c r="H943" s="24"/>
      <c r="I943" s="24"/>
      <c r="J943" s="24"/>
      <c r="K943" s="24"/>
      <c r="L943" s="24"/>
      <c r="M943" s="90"/>
    </row>
    <row r="944">
      <c r="A944" s="24"/>
      <c r="B944" s="24"/>
      <c r="C944" s="24"/>
      <c r="D944" s="24"/>
      <c r="E944" s="24"/>
      <c r="F944" s="24"/>
      <c r="G944" s="24"/>
      <c r="H944" s="24"/>
      <c r="I944" s="24"/>
      <c r="J944" s="24"/>
      <c r="K944" s="24"/>
      <c r="L944" s="24"/>
      <c r="M944" s="90"/>
    </row>
    <row r="945">
      <c r="A945" s="24"/>
      <c r="B945" s="24"/>
      <c r="C945" s="24"/>
      <c r="D945" s="24"/>
      <c r="E945" s="24"/>
      <c r="F945" s="24"/>
      <c r="G945" s="24"/>
      <c r="H945" s="24"/>
      <c r="I945" s="24"/>
      <c r="J945" s="24"/>
      <c r="K945" s="24"/>
      <c r="L945" s="24"/>
      <c r="M945" s="90"/>
    </row>
    <row r="946">
      <c r="A946" s="24"/>
      <c r="B946" s="24"/>
      <c r="C946" s="24"/>
      <c r="D946" s="24"/>
      <c r="E946" s="24"/>
      <c r="F946" s="24"/>
      <c r="G946" s="24"/>
      <c r="H946" s="24"/>
      <c r="I946" s="24"/>
      <c r="J946" s="24"/>
      <c r="K946" s="24"/>
      <c r="L946" s="24"/>
      <c r="M946" s="90"/>
    </row>
    <row r="947">
      <c r="A947" s="24"/>
      <c r="B947" s="24"/>
      <c r="C947" s="24"/>
      <c r="D947" s="24"/>
      <c r="E947" s="24"/>
      <c r="F947" s="24"/>
      <c r="G947" s="24"/>
      <c r="H947" s="24"/>
      <c r="I947" s="24"/>
      <c r="J947" s="24"/>
      <c r="K947" s="24"/>
      <c r="L947" s="24"/>
      <c r="M947" s="90"/>
    </row>
    <row r="948">
      <c r="A948" s="24"/>
      <c r="B948" s="24"/>
      <c r="C948" s="24"/>
      <c r="D948" s="24"/>
      <c r="E948" s="24"/>
      <c r="F948" s="24"/>
      <c r="G948" s="24"/>
      <c r="H948" s="24"/>
      <c r="I948" s="24"/>
      <c r="J948" s="24"/>
      <c r="K948" s="24"/>
      <c r="L948" s="24"/>
      <c r="M948" s="90"/>
    </row>
    <row r="949">
      <c r="A949" s="24"/>
      <c r="B949" s="24"/>
      <c r="C949" s="24"/>
      <c r="D949" s="24"/>
      <c r="E949" s="24"/>
      <c r="F949" s="24"/>
      <c r="G949" s="24"/>
      <c r="H949" s="24"/>
      <c r="I949" s="24"/>
      <c r="J949" s="24"/>
      <c r="K949" s="24"/>
      <c r="L949" s="24"/>
      <c r="M949" s="90"/>
    </row>
    <row r="950">
      <c r="A950" s="24"/>
      <c r="B950" s="24"/>
      <c r="C950" s="24"/>
      <c r="D950" s="24"/>
      <c r="E950" s="24"/>
      <c r="F950" s="24"/>
      <c r="G950" s="24"/>
      <c r="H950" s="24"/>
      <c r="I950" s="24"/>
      <c r="J950" s="24"/>
      <c r="K950" s="24"/>
      <c r="L950" s="24"/>
      <c r="M950" s="90"/>
    </row>
    <row r="951">
      <c r="A951" s="24"/>
      <c r="B951" s="24"/>
      <c r="C951" s="24"/>
      <c r="D951" s="24"/>
      <c r="E951" s="24"/>
      <c r="F951" s="24"/>
      <c r="G951" s="24"/>
      <c r="H951" s="24"/>
      <c r="I951" s="24"/>
      <c r="J951" s="24"/>
      <c r="K951" s="24"/>
      <c r="L951" s="24"/>
      <c r="M951" s="90"/>
    </row>
    <row r="952">
      <c r="A952" s="24"/>
      <c r="B952" s="24"/>
      <c r="C952" s="24"/>
      <c r="D952" s="24"/>
      <c r="E952" s="24"/>
      <c r="F952" s="24"/>
      <c r="G952" s="24"/>
      <c r="H952" s="24"/>
      <c r="I952" s="24"/>
      <c r="J952" s="24"/>
      <c r="K952" s="24"/>
      <c r="L952" s="24"/>
      <c r="M952" s="90"/>
    </row>
    <row r="953">
      <c r="A953" s="24"/>
      <c r="B953" s="24"/>
      <c r="C953" s="24"/>
      <c r="D953" s="24"/>
      <c r="E953" s="24"/>
      <c r="F953" s="24"/>
      <c r="G953" s="24"/>
      <c r="H953" s="24"/>
      <c r="I953" s="24"/>
      <c r="J953" s="24"/>
      <c r="K953" s="24"/>
      <c r="L953" s="24"/>
      <c r="M953" s="90"/>
    </row>
    <row r="954">
      <c r="A954" s="24"/>
      <c r="B954" s="24"/>
      <c r="C954" s="24"/>
      <c r="D954" s="24"/>
      <c r="E954" s="24"/>
      <c r="F954" s="24"/>
      <c r="G954" s="24"/>
      <c r="H954" s="24"/>
      <c r="I954" s="24"/>
      <c r="J954" s="24"/>
      <c r="K954" s="24"/>
      <c r="L954" s="24"/>
      <c r="M954" s="90"/>
    </row>
    <row r="955">
      <c r="A955" s="24"/>
      <c r="B955" s="24"/>
      <c r="C955" s="24"/>
      <c r="D955" s="24"/>
      <c r="E955" s="24"/>
      <c r="F955" s="24"/>
      <c r="G955" s="24"/>
      <c r="H955" s="24"/>
      <c r="I955" s="24"/>
      <c r="J955" s="24"/>
      <c r="K955" s="24"/>
      <c r="L955" s="24"/>
      <c r="M955" s="90"/>
    </row>
    <row r="956">
      <c r="A956" s="24"/>
      <c r="B956" s="24"/>
      <c r="C956" s="24"/>
      <c r="D956" s="24"/>
      <c r="E956" s="24"/>
      <c r="F956" s="24"/>
      <c r="G956" s="24"/>
      <c r="H956" s="24"/>
      <c r="I956" s="24"/>
      <c r="J956" s="24"/>
      <c r="K956" s="24"/>
      <c r="L956" s="24"/>
      <c r="M956" s="90"/>
    </row>
    <row r="957">
      <c r="A957" s="24"/>
      <c r="B957" s="24"/>
      <c r="C957" s="24"/>
      <c r="D957" s="24"/>
      <c r="E957" s="24"/>
      <c r="F957" s="24"/>
      <c r="G957" s="24"/>
      <c r="H957" s="24"/>
      <c r="I957" s="24"/>
      <c r="J957" s="24"/>
      <c r="K957" s="24"/>
      <c r="L957" s="24"/>
      <c r="M957" s="90"/>
    </row>
    <row r="958">
      <c r="A958" s="24"/>
      <c r="B958" s="24"/>
      <c r="C958" s="24"/>
      <c r="D958" s="24"/>
      <c r="E958" s="24"/>
      <c r="F958" s="24"/>
      <c r="G958" s="24"/>
      <c r="H958" s="24"/>
      <c r="I958" s="24"/>
      <c r="J958" s="24"/>
      <c r="K958" s="24"/>
      <c r="L958" s="24"/>
      <c r="M958" s="90"/>
    </row>
    <row r="959">
      <c r="A959" s="24"/>
      <c r="B959" s="24"/>
      <c r="C959" s="24"/>
      <c r="D959" s="24"/>
      <c r="E959" s="24"/>
      <c r="F959" s="24"/>
      <c r="G959" s="24"/>
      <c r="H959" s="24"/>
      <c r="I959" s="24"/>
      <c r="J959" s="24"/>
      <c r="K959" s="24"/>
      <c r="L959" s="24"/>
      <c r="M959" s="90"/>
    </row>
    <row r="960">
      <c r="A960" s="24"/>
      <c r="B960" s="24"/>
      <c r="C960" s="24"/>
      <c r="D960" s="24"/>
      <c r="E960" s="24"/>
      <c r="F960" s="24"/>
      <c r="G960" s="24"/>
      <c r="H960" s="24"/>
      <c r="I960" s="24"/>
      <c r="J960" s="24"/>
      <c r="K960" s="24"/>
      <c r="L960" s="24"/>
      <c r="M960" s="90"/>
    </row>
    <row r="961">
      <c r="A961" s="24"/>
      <c r="B961" s="24"/>
      <c r="C961" s="24"/>
      <c r="D961" s="24"/>
      <c r="E961" s="24"/>
      <c r="F961" s="24"/>
      <c r="G961" s="24"/>
      <c r="H961" s="24"/>
      <c r="I961" s="24"/>
      <c r="J961" s="24"/>
      <c r="K961" s="24"/>
      <c r="L961" s="24"/>
      <c r="M961" s="90"/>
    </row>
    <row r="962">
      <c r="A962" s="24"/>
      <c r="B962" s="24"/>
      <c r="C962" s="24"/>
      <c r="D962" s="24"/>
      <c r="E962" s="24"/>
      <c r="F962" s="24"/>
      <c r="G962" s="24"/>
      <c r="H962" s="24"/>
      <c r="I962" s="24"/>
      <c r="J962" s="24"/>
      <c r="K962" s="24"/>
      <c r="L962" s="24"/>
      <c r="M962" s="90"/>
    </row>
    <row r="963">
      <c r="A963" s="24"/>
      <c r="B963" s="24"/>
      <c r="C963" s="24"/>
      <c r="D963" s="24"/>
      <c r="E963" s="24"/>
      <c r="F963" s="24"/>
      <c r="G963" s="24"/>
      <c r="H963" s="24"/>
      <c r="I963" s="24"/>
      <c r="J963" s="24"/>
      <c r="K963" s="24"/>
      <c r="L963" s="24"/>
      <c r="M963" s="90"/>
    </row>
    <row r="964">
      <c r="A964" s="24"/>
      <c r="B964" s="24"/>
      <c r="C964" s="24"/>
      <c r="D964" s="24"/>
      <c r="E964" s="24"/>
      <c r="F964" s="24"/>
      <c r="G964" s="24"/>
      <c r="H964" s="24"/>
      <c r="I964" s="24"/>
      <c r="J964" s="24"/>
      <c r="K964" s="24"/>
      <c r="L964" s="24"/>
      <c r="M964" s="90"/>
    </row>
    <row r="965">
      <c r="A965" s="24"/>
      <c r="B965" s="24"/>
      <c r="C965" s="24"/>
      <c r="D965" s="24"/>
      <c r="E965" s="24"/>
      <c r="F965" s="24"/>
      <c r="G965" s="24"/>
      <c r="H965" s="24"/>
      <c r="I965" s="24"/>
      <c r="J965" s="24"/>
      <c r="K965" s="24"/>
      <c r="L965" s="24"/>
      <c r="M965" s="90"/>
    </row>
    <row r="966">
      <c r="A966" s="24"/>
      <c r="B966" s="24"/>
      <c r="C966" s="24"/>
      <c r="D966" s="24"/>
      <c r="E966" s="24"/>
      <c r="F966" s="24"/>
      <c r="G966" s="24"/>
      <c r="H966" s="24"/>
      <c r="I966" s="24"/>
      <c r="J966" s="24"/>
      <c r="K966" s="24"/>
      <c r="L966" s="24"/>
      <c r="M966" s="90"/>
    </row>
    <row r="967">
      <c r="A967" s="24"/>
      <c r="B967" s="24"/>
      <c r="C967" s="24"/>
      <c r="D967" s="24"/>
      <c r="E967" s="24"/>
      <c r="F967" s="24"/>
      <c r="G967" s="24"/>
      <c r="H967" s="24"/>
      <c r="I967" s="24"/>
      <c r="J967" s="24"/>
      <c r="K967" s="24"/>
      <c r="L967" s="24"/>
      <c r="M967" s="90"/>
    </row>
    <row r="968">
      <c r="A968" s="24"/>
      <c r="B968" s="24"/>
      <c r="C968" s="24"/>
      <c r="D968" s="24"/>
      <c r="E968" s="24"/>
      <c r="F968" s="24"/>
      <c r="G968" s="24"/>
      <c r="H968" s="24"/>
      <c r="I968" s="24"/>
      <c r="J968" s="24"/>
      <c r="K968" s="24"/>
      <c r="L968" s="24"/>
      <c r="M968" s="90"/>
    </row>
    <row r="969">
      <c r="A969" s="24"/>
      <c r="B969" s="24"/>
      <c r="C969" s="24"/>
      <c r="D969" s="24"/>
      <c r="E969" s="24"/>
      <c r="F969" s="24"/>
      <c r="G969" s="24"/>
      <c r="H969" s="24"/>
      <c r="I969" s="24"/>
      <c r="J969" s="24"/>
      <c r="K969" s="24"/>
      <c r="L969" s="24"/>
      <c r="M969" s="90"/>
    </row>
    <row r="970">
      <c r="A970" s="24"/>
      <c r="B970" s="24"/>
      <c r="C970" s="24"/>
      <c r="D970" s="24"/>
      <c r="E970" s="24"/>
      <c r="F970" s="24"/>
      <c r="G970" s="24"/>
      <c r="H970" s="24"/>
      <c r="I970" s="24"/>
      <c r="J970" s="24"/>
      <c r="K970" s="24"/>
      <c r="L970" s="24"/>
      <c r="M970" s="90"/>
    </row>
    <row r="971">
      <c r="A971" s="24"/>
      <c r="B971" s="24"/>
      <c r="C971" s="24"/>
      <c r="D971" s="24"/>
      <c r="E971" s="24"/>
      <c r="F971" s="24"/>
      <c r="G971" s="24"/>
      <c r="H971" s="24"/>
      <c r="I971" s="24"/>
      <c r="J971" s="24"/>
      <c r="K971" s="24"/>
      <c r="L971" s="24"/>
      <c r="M971" s="90"/>
    </row>
    <row r="972">
      <c r="A972" s="24"/>
      <c r="B972" s="24"/>
      <c r="C972" s="24"/>
      <c r="D972" s="24"/>
      <c r="E972" s="24"/>
      <c r="F972" s="24"/>
      <c r="G972" s="24"/>
      <c r="H972" s="24"/>
      <c r="I972" s="24"/>
      <c r="J972" s="24"/>
      <c r="K972" s="24"/>
      <c r="L972" s="24"/>
      <c r="M972" s="90"/>
    </row>
    <row r="973">
      <c r="A973" s="24"/>
      <c r="B973" s="24"/>
      <c r="C973" s="24"/>
      <c r="D973" s="24"/>
      <c r="E973" s="24"/>
      <c r="F973" s="24"/>
      <c r="G973" s="24"/>
      <c r="H973" s="24"/>
      <c r="I973" s="24"/>
      <c r="J973" s="24"/>
      <c r="K973" s="24"/>
      <c r="L973" s="24"/>
      <c r="M973" s="90"/>
    </row>
    <row r="974">
      <c r="A974" s="24"/>
      <c r="B974" s="24"/>
      <c r="C974" s="24"/>
      <c r="D974" s="24"/>
      <c r="E974" s="24"/>
      <c r="F974" s="24"/>
      <c r="G974" s="24"/>
      <c r="H974" s="24"/>
      <c r="I974" s="24"/>
      <c r="J974" s="24"/>
      <c r="K974" s="24"/>
      <c r="L974" s="24"/>
      <c r="M974" s="90"/>
    </row>
    <row r="975">
      <c r="A975" s="24"/>
      <c r="B975" s="24"/>
      <c r="C975" s="24"/>
      <c r="D975" s="24"/>
      <c r="E975" s="24"/>
      <c r="F975" s="24"/>
      <c r="G975" s="24"/>
      <c r="H975" s="24"/>
      <c r="I975" s="24"/>
      <c r="J975" s="24"/>
      <c r="K975" s="24"/>
      <c r="L975" s="24"/>
      <c r="M975" s="90"/>
    </row>
    <row r="976">
      <c r="A976" s="24"/>
      <c r="B976" s="24"/>
      <c r="C976" s="24"/>
      <c r="D976" s="24"/>
      <c r="E976" s="24"/>
      <c r="F976" s="24"/>
      <c r="G976" s="24"/>
      <c r="H976" s="24"/>
      <c r="I976" s="24"/>
      <c r="J976" s="24"/>
      <c r="K976" s="24"/>
      <c r="L976" s="24"/>
      <c r="M976" s="90"/>
    </row>
    <row r="977">
      <c r="A977" s="24"/>
      <c r="B977" s="24"/>
      <c r="C977" s="24"/>
      <c r="D977" s="24"/>
      <c r="E977" s="24"/>
      <c r="F977" s="24"/>
      <c r="G977" s="24"/>
      <c r="H977" s="24"/>
      <c r="I977" s="24"/>
      <c r="J977" s="24"/>
      <c r="K977" s="24"/>
      <c r="L977" s="24"/>
      <c r="M977" s="90"/>
    </row>
    <row r="978">
      <c r="A978" s="24"/>
      <c r="B978" s="24"/>
      <c r="C978" s="24"/>
      <c r="D978" s="24"/>
      <c r="E978" s="24"/>
      <c r="F978" s="24"/>
      <c r="G978" s="24"/>
      <c r="H978" s="24"/>
      <c r="I978" s="24"/>
      <c r="J978" s="24"/>
      <c r="K978" s="24"/>
      <c r="L978" s="24"/>
      <c r="M978" s="90"/>
    </row>
    <row r="979">
      <c r="A979" s="24"/>
      <c r="B979" s="24"/>
      <c r="C979" s="24"/>
      <c r="D979" s="24"/>
      <c r="E979" s="24"/>
      <c r="F979" s="24"/>
      <c r="G979" s="24"/>
      <c r="H979" s="24"/>
      <c r="I979" s="24"/>
      <c r="J979" s="24"/>
      <c r="K979" s="24"/>
      <c r="L979" s="24"/>
      <c r="M979" s="90"/>
    </row>
    <row r="980">
      <c r="A980" s="24"/>
      <c r="B980" s="24"/>
      <c r="C980" s="24"/>
      <c r="D980" s="24"/>
      <c r="E980" s="24"/>
      <c r="F980" s="24"/>
      <c r="G980" s="24"/>
      <c r="H980" s="24"/>
      <c r="I980" s="24"/>
      <c r="J980" s="24"/>
      <c r="K980" s="24"/>
      <c r="L980" s="24"/>
      <c r="M980" s="90"/>
    </row>
    <row r="981">
      <c r="A981" s="24"/>
      <c r="B981" s="24"/>
      <c r="C981" s="24"/>
      <c r="D981" s="24"/>
      <c r="E981" s="24"/>
      <c r="F981" s="24"/>
      <c r="G981" s="24"/>
      <c r="H981" s="24"/>
      <c r="I981" s="24"/>
      <c r="J981" s="24"/>
      <c r="K981" s="24"/>
      <c r="L981" s="24"/>
      <c r="M981" s="90"/>
    </row>
    <row r="982">
      <c r="A982" s="24"/>
      <c r="B982" s="24"/>
      <c r="C982" s="24"/>
      <c r="D982" s="24"/>
      <c r="E982" s="24"/>
      <c r="F982" s="24"/>
      <c r="G982" s="24"/>
      <c r="H982" s="24"/>
      <c r="I982" s="24"/>
      <c r="J982" s="24"/>
      <c r="K982" s="24"/>
      <c r="L982" s="24"/>
      <c r="M982" s="90"/>
    </row>
    <row r="983">
      <c r="A983" s="24"/>
      <c r="B983" s="24"/>
      <c r="C983" s="24"/>
      <c r="D983" s="24"/>
      <c r="E983" s="24"/>
      <c r="F983" s="24"/>
      <c r="G983" s="24"/>
      <c r="H983" s="24"/>
      <c r="I983" s="24"/>
      <c r="J983" s="24"/>
      <c r="K983" s="24"/>
      <c r="L983" s="24"/>
      <c r="M983" s="90"/>
    </row>
    <row r="984">
      <c r="A984" s="24"/>
      <c r="B984" s="24"/>
      <c r="C984" s="24"/>
      <c r="D984" s="24"/>
      <c r="E984" s="24"/>
      <c r="F984" s="24"/>
      <c r="G984" s="24"/>
      <c r="H984" s="24"/>
      <c r="I984" s="24"/>
      <c r="J984" s="24"/>
      <c r="K984" s="24"/>
      <c r="L984" s="24"/>
      <c r="M984" s="90"/>
    </row>
    <row r="985">
      <c r="A985" s="24"/>
      <c r="B985" s="24"/>
      <c r="C985" s="24"/>
      <c r="D985" s="24"/>
      <c r="E985" s="24"/>
      <c r="F985" s="24"/>
      <c r="G985" s="24"/>
      <c r="H985" s="24"/>
      <c r="I985" s="24"/>
      <c r="J985" s="24"/>
      <c r="K985" s="24"/>
      <c r="L985" s="24"/>
      <c r="M985" s="90"/>
    </row>
    <row r="986">
      <c r="A986" s="24"/>
      <c r="B986" s="24"/>
      <c r="C986" s="24"/>
      <c r="D986" s="24"/>
      <c r="E986" s="24"/>
      <c r="F986" s="24"/>
      <c r="G986" s="24"/>
      <c r="H986" s="24"/>
      <c r="I986" s="24"/>
      <c r="J986" s="24"/>
      <c r="K986" s="24"/>
      <c r="L986" s="24"/>
      <c r="M986" s="90"/>
    </row>
    <row r="987">
      <c r="A987" s="24"/>
      <c r="B987" s="24"/>
      <c r="C987" s="24"/>
      <c r="D987" s="24"/>
      <c r="E987" s="24"/>
      <c r="F987" s="24"/>
      <c r="G987" s="24"/>
      <c r="H987" s="24"/>
      <c r="I987" s="24"/>
      <c r="J987" s="24"/>
      <c r="K987" s="24"/>
      <c r="L987" s="24"/>
      <c r="M987" s="90"/>
    </row>
    <row r="988">
      <c r="A988" s="24"/>
      <c r="B988" s="24"/>
      <c r="C988" s="24"/>
      <c r="D988" s="24"/>
      <c r="E988" s="24"/>
      <c r="F988" s="24"/>
      <c r="G988" s="24"/>
      <c r="H988" s="24"/>
      <c r="I988" s="24"/>
      <c r="J988" s="24"/>
      <c r="K988" s="24"/>
      <c r="L988" s="24"/>
      <c r="M988" s="90"/>
    </row>
    <row r="989">
      <c r="A989" s="24"/>
      <c r="B989" s="24"/>
      <c r="C989" s="24"/>
      <c r="D989" s="24"/>
      <c r="E989" s="24"/>
      <c r="F989" s="24"/>
      <c r="G989" s="24"/>
      <c r="H989" s="24"/>
      <c r="I989" s="24"/>
      <c r="J989" s="24"/>
      <c r="K989" s="24"/>
      <c r="L989" s="24"/>
      <c r="M989" s="90"/>
    </row>
    <row r="990">
      <c r="A990" s="24"/>
      <c r="B990" s="24"/>
      <c r="C990" s="24"/>
      <c r="D990" s="24"/>
      <c r="E990" s="24"/>
      <c r="F990" s="24"/>
      <c r="G990" s="24"/>
      <c r="H990" s="24"/>
      <c r="I990" s="24"/>
      <c r="J990" s="24"/>
      <c r="K990" s="24"/>
      <c r="L990" s="24"/>
      <c r="M990" s="90"/>
    </row>
    <row r="991">
      <c r="A991" s="24"/>
      <c r="B991" s="24"/>
      <c r="C991" s="24"/>
      <c r="D991" s="24"/>
      <c r="E991" s="24"/>
      <c r="F991" s="24"/>
      <c r="G991" s="24"/>
      <c r="H991" s="24"/>
      <c r="I991" s="24"/>
      <c r="J991" s="24"/>
      <c r="K991" s="24"/>
      <c r="L991" s="24"/>
      <c r="M991" s="90"/>
    </row>
    <row r="992">
      <c r="A992" s="24"/>
      <c r="B992" s="24"/>
      <c r="C992" s="24"/>
      <c r="D992" s="24"/>
      <c r="E992" s="24"/>
      <c r="F992" s="24"/>
      <c r="G992" s="24"/>
      <c r="H992" s="24"/>
      <c r="I992" s="24"/>
      <c r="J992" s="24"/>
      <c r="K992" s="24"/>
      <c r="L992" s="24"/>
      <c r="M992" s="90"/>
    </row>
    <row r="993">
      <c r="A993" s="24"/>
      <c r="B993" s="24"/>
      <c r="C993" s="24"/>
      <c r="D993" s="24"/>
      <c r="E993" s="24"/>
      <c r="F993" s="24"/>
      <c r="G993" s="24"/>
      <c r="H993" s="24"/>
      <c r="I993" s="24"/>
      <c r="J993" s="24"/>
      <c r="K993" s="24"/>
      <c r="L993" s="24"/>
      <c r="M993" s="90"/>
    </row>
    <row r="994">
      <c r="A994" s="24"/>
      <c r="B994" s="24"/>
      <c r="C994" s="24"/>
      <c r="D994" s="24"/>
      <c r="E994" s="24"/>
      <c r="F994" s="24"/>
      <c r="G994" s="24"/>
      <c r="H994" s="24"/>
      <c r="I994" s="24"/>
      <c r="J994" s="24"/>
      <c r="K994" s="24"/>
      <c r="L994" s="24"/>
      <c r="M994" s="90"/>
    </row>
    <row r="995">
      <c r="A995" s="24"/>
      <c r="B995" s="24"/>
      <c r="C995" s="24"/>
      <c r="D995" s="24"/>
      <c r="E995" s="24"/>
      <c r="F995" s="24"/>
      <c r="G995" s="24"/>
      <c r="H995" s="24"/>
      <c r="I995" s="24"/>
      <c r="J995" s="24"/>
      <c r="K995" s="24"/>
      <c r="L995" s="24"/>
      <c r="M995" s="90"/>
    </row>
    <row r="996">
      <c r="A996" s="24"/>
      <c r="B996" s="24"/>
      <c r="C996" s="24"/>
      <c r="D996" s="24"/>
      <c r="E996" s="24"/>
      <c r="F996" s="24"/>
      <c r="G996" s="24"/>
      <c r="H996" s="24"/>
      <c r="I996" s="24"/>
      <c r="J996" s="24"/>
      <c r="K996" s="24"/>
      <c r="L996" s="24"/>
      <c r="M996" s="90"/>
    </row>
    <row r="997">
      <c r="A997" s="24"/>
      <c r="B997" s="24"/>
      <c r="C997" s="24"/>
      <c r="D997" s="24"/>
      <c r="E997" s="24"/>
      <c r="F997" s="24"/>
      <c r="G997" s="24"/>
      <c r="H997" s="24"/>
      <c r="I997" s="24"/>
      <c r="J997" s="24"/>
      <c r="K997" s="24"/>
      <c r="L997" s="24"/>
      <c r="M997" s="90"/>
    </row>
    <row r="998">
      <c r="A998" s="24"/>
      <c r="B998" s="24"/>
      <c r="C998" s="24"/>
      <c r="D998" s="24"/>
      <c r="E998" s="24"/>
      <c r="F998" s="24"/>
      <c r="G998" s="24"/>
      <c r="H998" s="24"/>
      <c r="I998" s="24"/>
      <c r="J998" s="24"/>
      <c r="K998" s="24"/>
      <c r="L998" s="24"/>
      <c r="M998" s="90"/>
    </row>
    <row r="999">
      <c r="A999" s="24"/>
      <c r="B999" s="24"/>
      <c r="C999" s="24"/>
      <c r="D999" s="24"/>
      <c r="E999" s="24"/>
      <c r="F999" s="24"/>
      <c r="G999" s="24"/>
      <c r="H999" s="24"/>
      <c r="I999" s="24"/>
      <c r="J999" s="24"/>
      <c r="K999" s="24"/>
      <c r="L999" s="24"/>
      <c r="M999" s="90"/>
    </row>
    <row r="1000">
      <c r="A1000" s="24"/>
      <c r="B1000" s="24"/>
      <c r="C1000" s="24"/>
      <c r="D1000" s="24"/>
      <c r="E1000" s="24"/>
      <c r="F1000" s="24"/>
      <c r="G1000" s="24"/>
      <c r="H1000" s="24"/>
      <c r="I1000" s="24"/>
      <c r="J1000" s="24"/>
      <c r="K1000" s="24"/>
      <c r="L1000" s="24"/>
      <c r="M1000" s="90"/>
    </row>
    <row r="1001">
      <c r="A1001" s="24"/>
      <c r="B1001" s="24"/>
      <c r="C1001" s="24"/>
      <c r="D1001" s="24"/>
      <c r="E1001" s="24"/>
      <c r="F1001" s="24"/>
      <c r="G1001" s="24"/>
      <c r="H1001" s="24"/>
      <c r="I1001" s="24"/>
      <c r="J1001" s="24"/>
      <c r="K1001" s="24"/>
      <c r="L1001" s="24"/>
      <c r="M1001" s="90"/>
    </row>
    <row r="1002">
      <c r="A1002" s="24"/>
      <c r="B1002" s="24"/>
      <c r="C1002" s="24"/>
      <c r="D1002" s="24"/>
      <c r="E1002" s="24"/>
      <c r="F1002" s="24"/>
      <c r="G1002" s="24"/>
      <c r="H1002" s="24"/>
      <c r="I1002" s="24"/>
      <c r="J1002" s="24"/>
      <c r="K1002" s="24"/>
      <c r="L1002" s="24"/>
      <c r="M1002" s="90"/>
    </row>
    <row r="1003">
      <c r="A1003" s="24"/>
      <c r="B1003" s="24"/>
      <c r="C1003" s="24"/>
      <c r="D1003" s="24"/>
      <c r="E1003" s="24"/>
      <c r="F1003" s="24"/>
      <c r="G1003" s="24"/>
      <c r="H1003" s="24"/>
      <c r="I1003" s="24"/>
      <c r="J1003" s="24"/>
      <c r="K1003" s="24"/>
      <c r="L1003" s="24"/>
      <c r="M1003" s="90"/>
    </row>
    <row r="1004">
      <c r="A1004" s="24"/>
      <c r="B1004" s="24"/>
      <c r="C1004" s="24"/>
      <c r="D1004" s="24"/>
      <c r="E1004" s="24"/>
      <c r="F1004" s="24"/>
      <c r="G1004" s="24"/>
      <c r="H1004" s="24"/>
      <c r="I1004" s="24"/>
      <c r="J1004" s="24"/>
      <c r="K1004" s="24"/>
      <c r="L1004" s="24"/>
      <c r="M1004" s="90"/>
    </row>
    <row r="1005">
      <c r="A1005" s="24"/>
      <c r="B1005" s="24"/>
      <c r="C1005" s="24"/>
      <c r="D1005" s="24"/>
      <c r="E1005" s="24"/>
      <c r="F1005" s="24"/>
      <c r="G1005" s="24"/>
      <c r="H1005" s="24"/>
      <c r="I1005" s="24"/>
      <c r="J1005" s="24"/>
      <c r="K1005" s="24"/>
      <c r="L1005" s="24"/>
      <c r="M1005" s="90"/>
    </row>
  </sheetData>
  <mergeCells count="6">
    <mergeCell ref="A1:A2"/>
    <mergeCell ref="B1:C1"/>
    <mergeCell ref="E1:F1"/>
    <mergeCell ref="G1:H1"/>
    <mergeCell ref="I1:J1"/>
    <mergeCell ref="K1:L1"/>
  </mergeCells>
  <conditionalFormatting sqref="A1:M1005">
    <cfRule type="cellIs" dxfId="0" priority="1" operator="equal">
      <formula>0</formula>
    </cfRule>
  </conditionalFormatting>
  <conditionalFormatting sqref="A1:M1005">
    <cfRule type="cellIs" dxfId="1" priority="2" operator="equal">
      <formula>25</formula>
    </cfRule>
  </conditionalFormatting>
  <conditionalFormatting sqref="A1:M1005">
    <cfRule type="cellIs" dxfId="2" priority="3" operator="equal">
      <formula>33</formula>
    </cfRule>
  </conditionalFormatting>
  <conditionalFormatting sqref="A1:L1">
    <cfRule type="cellIs" dxfId="3" priority="4" operator="equal">
      <formula>50</formula>
    </cfRule>
  </conditionalFormatting>
  <conditionalFormatting sqref="A1:M1005">
    <cfRule type="cellIs" dxfId="4" priority="5" operator="equal">
      <formula>66</formula>
    </cfRule>
  </conditionalFormatting>
  <conditionalFormatting sqref="A1:M1005">
    <cfRule type="cellIs" dxfId="5" priority="6" operator="equal">
      <formula>75</formula>
    </cfRule>
  </conditionalFormatting>
  <conditionalFormatting sqref="A1:M1005">
    <cfRule type="cellIs" dxfId="6" priority="7" operator="equal">
      <formula>100</formula>
    </cfRule>
  </conditionalFormatting>
  <conditionalFormatting sqref="A1:M1005">
    <cfRule type="containsText" dxfId="7" priority="8" operator="containsText" text="Consistent">
      <formula>NOT(ISERROR(SEARCH(("Consistent"),(A1))))</formula>
    </cfRule>
  </conditionalFormatting>
  <conditionalFormatting sqref="A1:M1005">
    <cfRule type="containsText" dxfId="8" priority="9" operator="containsText" text="Improved">
      <formula>NOT(ISERROR(SEARCH(("Improved"),(A1))))</formula>
    </cfRule>
  </conditionalFormatting>
  <conditionalFormatting sqref="A1:M1005">
    <cfRule type="containsText" dxfId="9" priority="10" operator="containsText" text="Decreased">
      <formula>NOT(ISERROR(SEARCH(("Decreased"),(A1))))</formula>
    </cfRule>
  </conditionalFormatting>
  <conditionalFormatting sqref="A1:L1005">
    <cfRule type="cellIs" dxfId="3" priority="11" operator="equal">
      <formula>50</formula>
    </cfRule>
  </conditionalFormatting>
  <printOptions gridLines="1" horizontalCentered="1"/>
  <pageMargins bottom="0.75" footer="0.0" header="0.0" left="0.7" right="0.7" top="0.75"/>
  <pageSetup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13"/>
  </cols>
  <sheetData>
    <row r="1">
      <c r="A1" s="92" t="s">
        <v>675</v>
      </c>
      <c r="B1" s="75" t="s">
        <v>676</v>
      </c>
      <c r="C1" s="28"/>
      <c r="D1" s="76" t="s">
        <v>677</v>
      </c>
      <c r="E1" s="75" t="s">
        <v>678</v>
      </c>
      <c r="F1" s="28"/>
      <c r="G1" s="75" t="s">
        <v>679</v>
      </c>
      <c r="H1" s="28"/>
      <c r="I1" s="75" t="s">
        <v>680</v>
      </c>
      <c r="J1" s="28"/>
      <c r="K1" s="75" t="s">
        <v>681</v>
      </c>
      <c r="L1" s="28"/>
      <c r="M1" s="93" t="s">
        <v>687</v>
      </c>
      <c r="N1" s="77" t="s">
        <v>688</v>
      </c>
      <c r="O1" s="77" t="s">
        <v>689</v>
      </c>
      <c r="P1" s="23" t="s">
        <v>690</v>
      </c>
    </row>
    <row r="2">
      <c r="A2" s="14"/>
      <c r="B2" s="79" t="s">
        <v>683</v>
      </c>
      <c r="C2" s="79" t="s">
        <v>684</v>
      </c>
      <c r="D2" s="79" t="s">
        <v>683</v>
      </c>
      <c r="E2" s="79" t="s">
        <v>683</v>
      </c>
      <c r="F2" s="79" t="s">
        <v>684</v>
      </c>
      <c r="G2" s="79" t="s">
        <v>683</v>
      </c>
      <c r="H2" s="79" t="s">
        <v>684</v>
      </c>
      <c r="I2" s="79" t="s">
        <v>683</v>
      </c>
      <c r="J2" s="79" t="s">
        <v>684</v>
      </c>
      <c r="K2" s="79" t="s">
        <v>683</v>
      </c>
      <c r="L2" s="79" t="s">
        <v>684</v>
      </c>
      <c r="M2" s="94"/>
      <c r="N2" s="95"/>
      <c r="O2" s="95"/>
      <c r="P2" s="24"/>
    </row>
    <row r="3">
      <c r="A3" s="82" t="s">
        <v>104</v>
      </c>
      <c r="B3" s="83">
        <v>100.0</v>
      </c>
      <c r="C3" s="83">
        <v>0.0</v>
      </c>
      <c r="D3" s="83">
        <v>50.0</v>
      </c>
      <c r="E3" s="83">
        <v>100.0</v>
      </c>
      <c r="F3" s="83">
        <v>25.0</v>
      </c>
      <c r="G3" s="83">
        <v>50.0</v>
      </c>
      <c r="H3" s="83">
        <v>0.0</v>
      </c>
      <c r="I3" s="83">
        <v>100.0</v>
      </c>
      <c r="J3" s="83">
        <v>0.0</v>
      </c>
      <c r="K3" s="83">
        <v>0.0</v>
      </c>
      <c r="L3" s="83">
        <v>100.0</v>
      </c>
      <c r="M3" s="96"/>
      <c r="N3" s="97">
        <v>46.15384615384615</v>
      </c>
      <c r="O3" s="98">
        <v>53.84615384615385</v>
      </c>
      <c r="P3" s="24">
        <f t="shared" ref="P3:P8" si="1">(O3-N3)/N3*100</f>
        <v>16.66666667</v>
      </c>
    </row>
    <row r="4">
      <c r="A4" s="82" t="s">
        <v>105</v>
      </c>
      <c r="B4" s="83">
        <v>100.0</v>
      </c>
      <c r="C4" s="83">
        <v>50.0</v>
      </c>
      <c r="D4" s="83">
        <v>50.0</v>
      </c>
      <c r="E4" s="83">
        <v>0.0</v>
      </c>
      <c r="F4" s="83">
        <v>25.0</v>
      </c>
      <c r="G4" s="83">
        <v>0.0</v>
      </c>
      <c r="H4" s="83">
        <v>0.0</v>
      </c>
      <c r="I4" s="83">
        <v>100.0</v>
      </c>
      <c r="J4" s="83">
        <v>0.0</v>
      </c>
      <c r="K4" s="83">
        <v>0.0</v>
      </c>
      <c r="L4" s="83">
        <v>100.0</v>
      </c>
      <c r="M4" s="91"/>
      <c r="N4" s="99">
        <v>30.76923076923077</v>
      </c>
      <c r="O4" s="98">
        <v>46.15384615384615</v>
      </c>
      <c r="P4" s="24">
        <f t="shared" si="1"/>
        <v>50</v>
      </c>
    </row>
    <row r="5">
      <c r="A5" s="85" t="s">
        <v>106</v>
      </c>
      <c r="B5" s="83">
        <v>100.0</v>
      </c>
      <c r="C5" s="83">
        <v>50.0</v>
      </c>
      <c r="D5" s="83">
        <v>50.0</v>
      </c>
      <c r="E5" s="83">
        <v>0.0</v>
      </c>
      <c r="F5" s="83">
        <v>50.0</v>
      </c>
      <c r="G5" s="83">
        <v>0.0</v>
      </c>
      <c r="H5" s="83">
        <v>0.0</v>
      </c>
      <c r="I5" s="83">
        <v>50.0</v>
      </c>
      <c r="J5" s="83">
        <v>0.0</v>
      </c>
      <c r="K5" s="83">
        <v>0.0</v>
      </c>
      <c r="L5" s="83">
        <v>100.0</v>
      </c>
      <c r="M5" s="91"/>
      <c r="N5" s="99">
        <v>38.46153846153847</v>
      </c>
      <c r="O5" s="98">
        <v>46.15384615384615</v>
      </c>
      <c r="P5" s="24">
        <f t="shared" si="1"/>
        <v>20</v>
      </c>
    </row>
    <row r="6">
      <c r="A6" s="82" t="s">
        <v>107</v>
      </c>
      <c r="B6" s="83">
        <v>100.0</v>
      </c>
      <c r="C6" s="83">
        <v>50.0</v>
      </c>
      <c r="D6" s="83">
        <v>50.0</v>
      </c>
      <c r="E6" s="83">
        <v>100.0</v>
      </c>
      <c r="F6" s="83">
        <v>25.0</v>
      </c>
      <c r="G6" s="83">
        <v>0.0</v>
      </c>
      <c r="H6" s="83">
        <v>0.0</v>
      </c>
      <c r="I6" s="83">
        <v>50.0</v>
      </c>
      <c r="J6" s="83">
        <v>0.0</v>
      </c>
      <c r="K6" s="83">
        <v>0.0</v>
      </c>
      <c r="L6" s="83">
        <v>100.0</v>
      </c>
      <c r="M6" s="91"/>
      <c r="N6" s="99">
        <v>50.0</v>
      </c>
      <c r="O6" s="98">
        <v>53.84615384615385</v>
      </c>
      <c r="P6" s="24">
        <f t="shared" si="1"/>
        <v>7.692307692</v>
      </c>
    </row>
    <row r="7">
      <c r="A7" s="82" t="s">
        <v>108</v>
      </c>
      <c r="B7" s="83">
        <v>100.0</v>
      </c>
      <c r="C7" s="83">
        <v>50.0</v>
      </c>
      <c r="D7" s="83">
        <v>50.0</v>
      </c>
      <c r="E7" s="83">
        <v>0.0</v>
      </c>
      <c r="F7" s="83">
        <v>25.0</v>
      </c>
      <c r="G7" s="83">
        <v>50.0</v>
      </c>
      <c r="H7" s="83">
        <v>0.0</v>
      </c>
      <c r="I7" s="83">
        <v>100.0</v>
      </c>
      <c r="J7" s="83">
        <v>0.0</v>
      </c>
      <c r="K7" s="83">
        <v>0.0</v>
      </c>
      <c r="L7" s="83">
        <v>100.0</v>
      </c>
      <c r="M7" s="91"/>
      <c r="N7" s="99">
        <v>19.230769230769234</v>
      </c>
      <c r="O7" s="98">
        <v>53.84615384615385</v>
      </c>
      <c r="P7" s="24">
        <f t="shared" si="1"/>
        <v>180</v>
      </c>
    </row>
    <row r="8">
      <c r="A8" s="82" t="s">
        <v>685</v>
      </c>
      <c r="B8" s="83">
        <v>100.0</v>
      </c>
      <c r="C8" s="83">
        <v>0.0</v>
      </c>
      <c r="D8" s="83">
        <v>50.0</v>
      </c>
      <c r="E8" s="83">
        <v>0.0</v>
      </c>
      <c r="F8" s="83">
        <v>50.0</v>
      </c>
      <c r="G8" s="83">
        <v>50.0</v>
      </c>
      <c r="H8" s="83">
        <v>0.0</v>
      </c>
      <c r="I8" s="83">
        <v>100.0</v>
      </c>
      <c r="J8" s="83">
        <v>0.0</v>
      </c>
      <c r="K8" s="83">
        <v>0.0</v>
      </c>
      <c r="L8" s="83">
        <v>100.0</v>
      </c>
      <c r="M8" s="91"/>
      <c r="N8" s="99">
        <v>61.53846153846154</v>
      </c>
      <c r="O8" s="98">
        <v>46.15384615384615</v>
      </c>
      <c r="P8" s="24">
        <f t="shared" si="1"/>
        <v>-25</v>
      </c>
    </row>
    <row r="9">
      <c r="A9" s="85" t="s">
        <v>110</v>
      </c>
      <c r="B9" s="83">
        <v>100.0</v>
      </c>
      <c r="C9" s="83">
        <v>0.0</v>
      </c>
      <c r="D9" s="83">
        <v>50.0</v>
      </c>
      <c r="E9" s="83">
        <v>0.0</v>
      </c>
      <c r="F9" s="83">
        <v>25.0</v>
      </c>
      <c r="G9" s="83">
        <v>0.0</v>
      </c>
      <c r="H9" s="83">
        <v>0.0</v>
      </c>
      <c r="I9" s="83">
        <v>50.0</v>
      </c>
      <c r="J9" s="83">
        <v>0.0</v>
      </c>
      <c r="K9" s="86">
        <v>0.0</v>
      </c>
      <c r="L9" s="83">
        <v>100.0</v>
      </c>
      <c r="M9" s="91"/>
      <c r="N9" s="99" t="s">
        <v>691</v>
      </c>
      <c r="O9" s="98">
        <v>34.61538461538461</v>
      </c>
      <c r="P9" s="24"/>
    </row>
    <row r="10">
      <c r="A10" s="82" t="s">
        <v>111</v>
      </c>
      <c r="B10" s="83">
        <v>100.0</v>
      </c>
      <c r="C10" s="83">
        <v>0.0</v>
      </c>
      <c r="D10" s="83">
        <v>50.0</v>
      </c>
      <c r="E10" s="83">
        <v>0.0</v>
      </c>
      <c r="F10" s="83">
        <v>25.0</v>
      </c>
      <c r="G10" s="83">
        <v>50.0</v>
      </c>
      <c r="H10" s="83">
        <v>0.0</v>
      </c>
      <c r="I10" s="83">
        <v>100.0</v>
      </c>
      <c r="J10" s="83">
        <v>0.0</v>
      </c>
      <c r="K10" s="83">
        <v>0.0</v>
      </c>
      <c r="L10" s="83">
        <v>100.0</v>
      </c>
      <c r="M10" s="91"/>
      <c r="N10" s="99">
        <v>0.0</v>
      </c>
      <c r="O10" s="98">
        <v>53.84615384615385</v>
      </c>
      <c r="P10" s="24" t="str">
        <f t="shared" ref="P10:P17" si="2">(O10-N10)/N10*100</f>
        <v>#DIV/0!</v>
      </c>
    </row>
    <row r="11">
      <c r="A11" s="82" t="s">
        <v>112</v>
      </c>
      <c r="B11" s="83">
        <v>100.0</v>
      </c>
      <c r="C11" s="83">
        <v>0.0</v>
      </c>
      <c r="D11" s="83">
        <v>50.0</v>
      </c>
      <c r="E11" s="83">
        <v>100.0</v>
      </c>
      <c r="F11" s="83">
        <v>25.0</v>
      </c>
      <c r="G11" s="83">
        <v>0.0</v>
      </c>
      <c r="H11" s="83">
        <v>0.0</v>
      </c>
      <c r="I11" s="83">
        <v>50.0</v>
      </c>
      <c r="J11" s="83">
        <v>0.0</v>
      </c>
      <c r="K11" s="83">
        <v>0.0</v>
      </c>
      <c r="L11" s="83">
        <v>100.0</v>
      </c>
      <c r="M11" s="91"/>
      <c r="N11" s="99">
        <v>30.76923076923077</v>
      </c>
      <c r="O11" s="98">
        <v>46.15384615384615</v>
      </c>
      <c r="P11" s="24">
        <f t="shared" si="2"/>
        <v>50</v>
      </c>
    </row>
    <row r="12">
      <c r="A12" s="82" t="s">
        <v>113</v>
      </c>
      <c r="B12" s="83">
        <v>100.0</v>
      </c>
      <c r="C12" s="83">
        <v>50.0</v>
      </c>
      <c r="D12" s="83">
        <v>50.0</v>
      </c>
      <c r="E12" s="83">
        <v>0.0</v>
      </c>
      <c r="F12" s="83">
        <v>25.0</v>
      </c>
      <c r="G12" s="52">
        <v>50.0</v>
      </c>
      <c r="H12" s="83">
        <v>0.0</v>
      </c>
      <c r="I12" s="83">
        <v>100.0</v>
      </c>
      <c r="J12" s="83">
        <v>0.0</v>
      </c>
      <c r="K12" s="83">
        <v>0.0</v>
      </c>
      <c r="L12" s="83">
        <v>100.0</v>
      </c>
      <c r="M12" s="91"/>
      <c r="N12" s="99">
        <v>42.30769230769231</v>
      </c>
      <c r="O12" s="98">
        <v>53.84615384615385</v>
      </c>
      <c r="P12" s="24">
        <f t="shared" si="2"/>
        <v>27.27272727</v>
      </c>
    </row>
    <row r="13">
      <c r="A13" s="82" t="s">
        <v>692</v>
      </c>
      <c r="B13" s="79">
        <v>100.0</v>
      </c>
      <c r="C13" s="79">
        <v>0.0</v>
      </c>
      <c r="D13" s="79">
        <v>50.0</v>
      </c>
      <c r="E13" s="79">
        <v>0.0</v>
      </c>
      <c r="F13" s="79">
        <v>25.0</v>
      </c>
      <c r="G13" s="79">
        <v>50.0</v>
      </c>
      <c r="H13" s="79">
        <v>0.0</v>
      </c>
      <c r="I13" s="79">
        <v>100.0</v>
      </c>
      <c r="J13" s="83">
        <v>0.0</v>
      </c>
      <c r="K13" s="79">
        <v>0.0</v>
      </c>
      <c r="L13" s="83">
        <v>100.0</v>
      </c>
      <c r="M13" s="91"/>
      <c r="N13" s="99">
        <v>50.0</v>
      </c>
      <c r="O13" s="98">
        <v>50.0</v>
      </c>
      <c r="P13" s="24">
        <f t="shared" si="2"/>
        <v>0</v>
      </c>
    </row>
    <row r="14">
      <c r="A14" s="82" t="s">
        <v>115</v>
      </c>
      <c r="B14" s="83">
        <v>100.0</v>
      </c>
      <c r="C14" s="83">
        <v>50.0</v>
      </c>
      <c r="D14" s="83">
        <v>50.0</v>
      </c>
      <c r="E14" s="83">
        <v>100.0</v>
      </c>
      <c r="F14" s="83">
        <v>25.0</v>
      </c>
      <c r="G14" s="52">
        <v>50.0</v>
      </c>
      <c r="H14" s="83">
        <v>0.0</v>
      </c>
      <c r="I14" s="83">
        <v>100.0</v>
      </c>
      <c r="J14" s="83">
        <v>0.0</v>
      </c>
      <c r="K14" s="83">
        <v>0.0</v>
      </c>
      <c r="L14" s="83">
        <v>100.0</v>
      </c>
      <c r="M14" s="91"/>
      <c r="N14" s="99">
        <v>69.23076923076923</v>
      </c>
      <c r="O14" s="98">
        <v>53.84615384615385</v>
      </c>
      <c r="P14" s="24">
        <f t="shared" si="2"/>
        <v>-22.22222222</v>
      </c>
    </row>
    <row r="15">
      <c r="A15" s="82" t="s">
        <v>116</v>
      </c>
      <c r="B15" s="83">
        <v>100.0</v>
      </c>
      <c r="C15" s="83">
        <v>0.0</v>
      </c>
      <c r="D15" s="83">
        <v>50.0</v>
      </c>
      <c r="E15" s="83">
        <v>0.0</v>
      </c>
      <c r="F15" s="83">
        <v>25.0</v>
      </c>
      <c r="G15" s="83">
        <v>50.0</v>
      </c>
      <c r="H15" s="83">
        <v>0.0</v>
      </c>
      <c r="I15" s="83">
        <v>100.0</v>
      </c>
      <c r="J15" s="83">
        <v>0.0</v>
      </c>
      <c r="K15" s="83">
        <v>0.0</v>
      </c>
      <c r="L15" s="83">
        <v>100.0</v>
      </c>
      <c r="M15" s="91"/>
      <c r="N15" s="99">
        <v>80.76923076923077</v>
      </c>
      <c r="O15" s="98">
        <v>50.0</v>
      </c>
      <c r="P15" s="24">
        <f t="shared" si="2"/>
        <v>-38.0952381</v>
      </c>
    </row>
    <row r="16">
      <c r="A16" s="82" t="s">
        <v>693</v>
      </c>
      <c r="B16" s="79">
        <v>100.0</v>
      </c>
      <c r="C16" s="79">
        <v>50.0</v>
      </c>
      <c r="D16" s="79">
        <v>50.0</v>
      </c>
      <c r="E16" s="79">
        <v>0.0</v>
      </c>
      <c r="F16" s="79">
        <v>25.0</v>
      </c>
      <c r="G16" s="79">
        <v>50.0</v>
      </c>
      <c r="H16" s="79">
        <v>0.0</v>
      </c>
      <c r="I16" s="79">
        <v>100.0</v>
      </c>
      <c r="J16" s="83">
        <v>0.0</v>
      </c>
      <c r="K16" s="79">
        <v>0.0</v>
      </c>
      <c r="L16" s="83">
        <v>100.0</v>
      </c>
      <c r="M16" s="91"/>
      <c r="N16" s="99">
        <v>42.30769230769231</v>
      </c>
      <c r="O16" s="98">
        <v>50.0</v>
      </c>
      <c r="P16" s="24">
        <f t="shared" si="2"/>
        <v>18.18181818</v>
      </c>
    </row>
    <row r="17">
      <c r="A17" s="82" t="s">
        <v>117</v>
      </c>
      <c r="B17" s="83">
        <v>100.0</v>
      </c>
      <c r="C17" s="83">
        <v>0.0</v>
      </c>
      <c r="D17" s="83">
        <v>75.0</v>
      </c>
      <c r="E17" s="83">
        <v>100.0</v>
      </c>
      <c r="F17" s="83">
        <v>25.0</v>
      </c>
      <c r="G17" s="83">
        <v>100.0</v>
      </c>
      <c r="H17" s="83">
        <v>0.0</v>
      </c>
      <c r="I17" s="83">
        <v>100.0</v>
      </c>
      <c r="J17" s="83">
        <v>0.0</v>
      </c>
      <c r="K17" s="83">
        <v>0.0</v>
      </c>
      <c r="L17" s="83">
        <v>100.0</v>
      </c>
      <c r="M17" s="96"/>
      <c r="N17" s="97">
        <v>73.07692307692307</v>
      </c>
      <c r="O17" s="98">
        <v>50.0</v>
      </c>
      <c r="P17" s="24">
        <f t="shared" si="2"/>
        <v>-31.57894737</v>
      </c>
    </row>
    <row r="18">
      <c r="A18" s="85" t="s">
        <v>118</v>
      </c>
      <c r="B18" s="83">
        <v>100.0</v>
      </c>
      <c r="C18" s="83">
        <v>0.0</v>
      </c>
      <c r="D18" s="83">
        <v>50.0</v>
      </c>
      <c r="E18" s="83">
        <v>0.0</v>
      </c>
      <c r="F18" s="83">
        <v>25.0</v>
      </c>
      <c r="G18" s="83">
        <v>50.0</v>
      </c>
      <c r="H18" s="83">
        <v>0.0</v>
      </c>
      <c r="I18" s="83">
        <v>100.0</v>
      </c>
      <c r="J18" s="83">
        <v>0.0</v>
      </c>
      <c r="K18" s="83">
        <v>0.0</v>
      </c>
      <c r="L18" s="83">
        <v>100.0</v>
      </c>
      <c r="M18" s="91"/>
      <c r="N18" s="99" t="s">
        <v>691</v>
      </c>
      <c r="O18" s="98">
        <v>46.15384615384615</v>
      </c>
      <c r="P18" s="24"/>
    </row>
    <row r="19">
      <c r="A19" s="82" t="s">
        <v>119</v>
      </c>
      <c r="B19" s="83">
        <v>100.0</v>
      </c>
      <c r="C19" s="83">
        <v>0.0</v>
      </c>
      <c r="D19" s="83">
        <v>75.0</v>
      </c>
      <c r="E19" s="83">
        <v>100.0</v>
      </c>
      <c r="F19" s="83">
        <v>25.0</v>
      </c>
      <c r="G19" s="83">
        <v>50.0</v>
      </c>
      <c r="H19" s="83">
        <v>0.0</v>
      </c>
      <c r="I19" s="83">
        <v>100.0</v>
      </c>
      <c r="J19" s="83">
        <v>0.0</v>
      </c>
      <c r="K19" s="83">
        <v>0.0</v>
      </c>
      <c r="L19" s="83">
        <v>100.0</v>
      </c>
      <c r="M19" s="91"/>
      <c r="N19" s="99">
        <v>19.230769230769234</v>
      </c>
      <c r="O19" s="98">
        <v>50.0</v>
      </c>
      <c r="P19" s="24">
        <f>(O19-N19)/N19*100</f>
        <v>160</v>
      </c>
    </row>
    <row r="20">
      <c r="A20" s="85" t="s">
        <v>120</v>
      </c>
      <c r="B20" s="83">
        <v>100.0</v>
      </c>
      <c r="C20" s="83">
        <v>50.0</v>
      </c>
      <c r="D20" s="83">
        <v>75.0</v>
      </c>
      <c r="E20" s="83">
        <v>100.0</v>
      </c>
      <c r="F20" s="83">
        <v>50.0</v>
      </c>
      <c r="G20" s="83">
        <v>50.0</v>
      </c>
      <c r="H20" s="83">
        <v>0.0</v>
      </c>
      <c r="I20" s="83">
        <v>100.0</v>
      </c>
      <c r="J20" s="83">
        <v>0.0</v>
      </c>
      <c r="K20" s="83">
        <v>0.0</v>
      </c>
      <c r="L20" s="83">
        <v>100.0</v>
      </c>
      <c r="M20" s="91"/>
      <c r="N20" s="99" t="s">
        <v>691</v>
      </c>
      <c r="O20" s="98">
        <v>65.38461538461539</v>
      </c>
      <c r="P20" s="24"/>
    </row>
    <row r="21">
      <c r="A21" s="82" t="s">
        <v>121</v>
      </c>
      <c r="B21" s="83">
        <v>100.0</v>
      </c>
      <c r="C21" s="83">
        <v>50.0</v>
      </c>
      <c r="D21" s="83">
        <v>50.0</v>
      </c>
      <c r="E21" s="83">
        <v>0.0</v>
      </c>
      <c r="F21" s="83">
        <v>50.0</v>
      </c>
      <c r="G21" s="83">
        <v>50.0</v>
      </c>
      <c r="H21" s="83">
        <v>0.0</v>
      </c>
      <c r="I21" s="83">
        <v>100.0</v>
      </c>
      <c r="J21" s="83">
        <v>0.0</v>
      </c>
      <c r="K21" s="83">
        <v>0.0</v>
      </c>
      <c r="L21" s="83">
        <v>100.0</v>
      </c>
      <c r="M21" s="91"/>
      <c r="N21" s="99">
        <v>53.84615384615385</v>
      </c>
      <c r="O21" s="98">
        <v>57.692307692307686</v>
      </c>
      <c r="P21" s="24">
        <f t="shared" ref="P21:P23" si="3">(O21-N21)/N21*100</f>
        <v>7.142857143</v>
      </c>
    </row>
    <row r="22">
      <c r="A22" s="82" t="s">
        <v>122</v>
      </c>
      <c r="B22" s="83">
        <v>100.0</v>
      </c>
      <c r="C22" s="83">
        <v>50.0</v>
      </c>
      <c r="D22" s="83">
        <v>50.0</v>
      </c>
      <c r="E22" s="83">
        <v>0.0</v>
      </c>
      <c r="F22" s="83">
        <v>25.0</v>
      </c>
      <c r="G22" s="83">
        <v>50.0</v>
      </c>
      <c r="H22" s="83">
        <v>0.0</v>
      </c>
      <c r="I22" s="83">
        <v>100.0</v>
      </c>
      <c r="J22" s="83">
        <v>0.0</v>
      </c>
      <c r="K22" s="83">
        <v>0.0</v>
      </c>
      <c r="L22" s="83">
        <v>100.0</v>
      </c>
      <c r="M22" s="91"/>
      <c r="N22" s="99">
        <v>34.61538461538461</v>
      </c>
      <c r="O22" s="98">
        <v>53.84615384615385</v>
      </c>
      <c r="P22" s="24">
        <f t="shared" si="3"/>
        <v>55.55555556</v>
      </c>
    </row>
    <row r="23">
      <c r="A23" s="82" t="s">
        <v>123</v>
      </c>
      <c r="B23" s="83">
        <v>100.0</v>
      </c>
      <c r="C23" s="83">
        <v>0.0</v>
      </c>
      <c r="D23" s="83">
        <v>50.0</v>
      </c>
      <c r="E23" s="83">
        <v>100.0</v>
      </c>
      <c r="F23" s="83">
        <v>25.0</v>
      </c>
      <c r="G23" s="83">
        <v>0.0</v>
      </c>
      <c r="H23" s="83">
        <v>0.0</v>
      </c>
      <c r="I23" s="83">
        <v>50.0</v>
      </c>
      <c r="J23" s="83">
        <v>0.0</v>
      </c>
      <c r="K23" s="83">
        <v>0.0</v>
      </c>
      <c r="L23" s="83">
        <v>100.0</v>
      </c>
      <c r="M23" s="91"/>
      <c r="N23" s="99">
        <v>84.61538461538461</v>
      </c>
      <c r="O23" s="97">
        <v>42.30769230769231</v>
      </c>
      <c r="P23" s="24">
        <f t="shared" si="3"/>
        <v>-50</v>
      </c>
    </row>
    <row r="24">
      <c r="A24" s="85" t="s">
        <v>124</v>
      </c>
      <c r="B24" s="83">
        <v>100.0</v>
      </c>
      <c r="C24" s="83">
        <v>0.0</v>
      </c>
      <c r="D24" s="83">
        <v>50.0</v>
      </c>
      <c r="E24" s="83">
        <v>100.0</v>
      </c>
      <c r="F24" s="83">
        <v>25.0</v>
      </c>
      <c r="G24" s="83">
        <v>0.0</v>
      </c>
      <c r="H24" s="83">
        <v>0.0</v>
      </c>
      <c r="I24" s="83">
        <v>50.0</v>
      </c>
      <c r="J24" s="83">
        <v>0.0</v>
      </c>
      <c r="K24" s="83">
        <v>0.0</v>
      </c>
      <c r="L24" s="83">
        <v>100.0</v>
      </c>
      <c r="M24" s="91"/>
      <c r="N24" s="99" t="s">
        <v>691</v>
      </c>
      <c r="O24" s="98">
        <v>38.46153846153847</v>
      </c>
      <c r="P24" s="24"/>
    </row>
    <row r="25">
      <c r="A25" s="82" t="s">
        <v>125</v>
      </c>
      <c r="B25" s="83">
        <v>100.0</v>
      </c>
      <c r="C25" s="83">
        <v>50.0</v>
      </c>
      <c r="D25" s="83">
        <v>50.0</v>
      </c>
      <c r="E25" s="83">
        <v>100.0</v>
      </c>
      <c r="F25" s="83">
        <v>25.0</v>
      </c>
      <c r="G25" s="83">
        <v>50.0</v>
      </c>
      <c r="H25" s="83">
        <v>0.0</v>
      </c>
      <c r="I25" s="83">
        <v>50.0</v>
      </c>
      <c r="J25" s="83">
        <v>0.0</v>
      </c>
      <c r="K25" s="83">
        <v>0.0</v>
      </c>
      <c r="L25" s="83">
        <v>100.0</v>
      </c>
      <c r="M25" s="91"/>
      <c r="N25" s="99">
        <v>57.692307692307686</v>
      </c>
      <c r="O25" s="98">
        <v>57.692307692307686</v>
      </c>
      <c r="P25" s="24">
        <f t="shared" ref="P25:P27" si="4">(O25-N25)/N25*100</f>
        <v>0</v>
      </c>
    </row>
    <row r="26">
      <c r="A26" s="82" t="s">
        <v>126</v>
      </c>
      <c r="B26" s="83">
        <v>100.0</v>
      </c>
      <c r="C26" s="83">
        <v>50.0</v>
      </c>
      <c r="D26" s="83">
        <v>50.0</v>
      </c>
      <c r="E26" s="83">
        <v>100.0</v>
      </c>
      <c r="F26" s="83">
        <v>50.0</v>
      </c>
      <c r="G26" s="83">
        <v>50.0</v>
      </c>
      <c r="H26" s="83">
        <v>0.0</v>
      </c>
      <c r="I26" s="83">
        <v>50.0</v>
      </c>
      <c r="J26" s="83">
        <v>0.0</v>
      </c>
      <c r="K26" s="83">
        <v>0.0</v>
      </c>
      <c r="L26" s="83">
        <v>100.0</v>
      </c>
      <c r="M26" s="91"/>
      <c r="N26" s="99">
        <v>61.53846153846154</v>
      </c>
      <c r="O26" s="98">
        <v>57.692307692307686</v>
      </c>
      <c r="P26" s="24">
        <f t="shared" si="4"/>
        <v>-6.25</v>
      </c>
    </row>
    <row r="27">
      <c r="A27" s="82" t="s">
        <v>127</v>
      </c>
      <c r="B27" s="83">
        <v>100.0</v>
      </c>
      <c r="C27" s="83">
        <v>0.0</v>
      </c>
      <c r="D27" s="83">
        <v>50.0</v>
      </c>
      <c r="E27" s="83">
        <v>100.0</v>
      </c>
      <c r="F27" s="83">
        <v>25.0</v>
      </c>
      <c r="G27" s="83">
        <v>50.0</v>
      </c>
      <c r="H27" s="83">
        <v>0.0</v>
      </c>
      <c r="I27" s="83">
        <v>100.0</v>
      </c>
      <c r="J27" s="83">
        <v>0.0</v>
      </c>
      <c r="K27" s="83">
        <v>0.0</v>
      </c>
      <c r="L27" s="83">
        <v>100.0</v>
      </c>
      <c r="M27" s="91"/>
      <c r="N27" s="99">
        <v>53.84615384615385</v>
      </c>
      <c r="O27" s="98">
        <v>53.84615384615385</v>
      </c>
      <c r="P27" s="24">
        <f t="shared" si="4"/>
        <v>0</v>
      </c>
    </row>
    <row r="28">
      <c r="A28" s="85" t="s">
        <v>128</v>
      </c>
      <c r="B28" s="83">
        <v>100.0</v>
      </c>
      <c r="C28" s="83">
        <v>0.0</v>
      </c>
      <c r="D28" s="83">
        <v>50.0</v>
      </c>
      <c r="E28" s="83">
        <v>0.0</v>
      </c>
      <c r="F28" s="83">
        <v>25.0</v>
      </c>
      <c r="G28" s="83">
        <v>0.0</v>
      </c>
      <c r="H28" s="83">
        <v>0.0</v>
      </c>
      <c r="I28" s="83">
        <v>50.0</v>
      </c>
      <c r="J28" s="83">
        <v>0.0</v>
      </c>
      <c r="K28" s="83">
        <v>0.0</v>
      </c>
      <c r="L28" s="83">
        <v>100.0</v>
      </c>
      <c r="M28" s="91"/>
      <c r="N28" s="99" t="s">
        <v>691</v>
      </c>
      <c r="O28" s="97">
        <v>42.30769230769231</v>
      </c>
      <c r="P28" s="24"/>
    </row>
    <row r="29">
      <c r="A29" s="82" t="s">
        <v>129</v>
      </c>
      <c r="B29" s="83">
        <v>100.0</v>
      </c>
      <c r="C29" s="83">
        <v>50.0</v>
      </c>
      <c r="D29" s="83">
        <v>50.0</v>
      </c>
      <c r="E29" s="83">
        <v>0.0</v>
      </c>
      <c r="F29" s="83">
        <v>25.0</v>
      </c>
      <c r="G29" s="83">
        <v>50.0</v>
      </c>
      <c r="H29" s="83">
        <v>0.0</v>
      </c>
      <c r="I29" s="83">
        <v>100.0</v>
      </c>
      <c r="J29" s="83">
        <v>0.0</v>
      </c>
      <c r="K29" s="83">
        <v>0.0</v>
      </c>
      <c r="L29" s="83">
        <v>100.0</v>
      </c>
      <c r="M29" s="91"/>
      <c r="N29" s="99">
        <v>42.30769230769231</v>
      </c>
      <c r="O29" s="98">
        <v>53.84615384615385</v>
      </c>
      <c r="P29" s="24">
        <f t="shared" ref="P29:P30" si="5">(O29-N29)/N29*100</f>
        <v>27.27272727</v>
      </c>
    </row>
    <row r="30">
      <c r="A30" s="82" t="s">
        <v>130</v>
      </c>
      <c r="B30" s="83">
        <v>100.0</v>
      </c>
      <c r="C30" s="83">
        <v>50.0</v>
      </c>
      <c r="D30" s="83">
        <v>75.0</v>
      </c>
      <c r="E30" s="83">
        <v>0.0</v>
      </c>
      <c r="F30" s="83">
        <v>25.0</v>
      </c>
      <c r="G30" s="83">
        <v>50.0</v>
      </c>
      <c r="H30" s="83">
        <v>0.0</v>
      </c>
      <c r="I30" s="83">
        <v>50.0</v>
      </c>
      <c r="J30" s="83">
        <v>0.0</v>
      </c>
      <c r="K30" s="83">
        <v>0.0</v>
      </c>
      <c r="L30" s="83">
        <v>100.0</v>
      </c>
      <c r="M30" s="91"/>
      <c r="N30" s="99">
        <v>38.46153846153847</v>
      </c>
      <c r="O30" s="98">
        <v>46.15384615384615</v>
      </c>
      <c r="P30" s="24">
        <f t="shared" si="5"/>
        <v>20</v>
      </c>
    </row>
    <row r="31">
      <c r="A31" s="85" t="s">
        <v>686</v>
      </c>
      <c r="B31" s="83">
        <v>100.0</v>
      </c>
      <c r="C31" s="83">
        <v>50.0</v>
      </c>
      <c r="D31" s="83">
        <v>50.0</v>
      </c>
      <c r="E31" s="83">
        <v>0.0</v>
      </c>
      <c r="F31" s="83">
        <v>25.0</v>
      </c>
      <c r="G31" s="83">
        <v>50.0</v>
      </c>
      <c r="H31" s="83">
        <v>0.0</v>
      </c>
      <c r="I31" s="83">
        <v>100.0</v>
      </c>
      <c r="J31" s="83">
        <v>0.0</v>
      </c>
      <c r="K31" s="83">
        <v>0.0</v>
      </c>
      <c r="L31" s="83">
        <v>100.0</v>
      </c>
      <c r="M31" s="91"/>
      <c r="N31" s="99" t="s">
        <v>691</v>
      </c>
      <c r="O31" s="98">
        <v>50.0</v>
      </c>
      <c r="P31" s="24"/>
    </row>
    <row r="32">
      <c r="A32" s="82" t="s">
        <v>132</v>
      </c>
      <c r="B32" s="83">
        <v>100.0</v>
      </c>
      <c r="C32" s="83">
        <v>0.0</v>
      </c>
      <c r="D32" s="83">
        <v>50.0</v>
      </c>
      <c r="E32" s="83">
        <v>0.0</v>
      </c>
      <c r="F32" s="83">
        <v>0.0</v>
      </c>
      <c r="G32" s="83">
        <v>50.0</v>
      </c>
      <c r="H32" s="83">
        <v>0.0</v>
      </c>
      <c r="I32" s="83">
        <v>50.0</v>
      </c>
      <c r="J32" s="83">
        <v>0.0</v>
      </c>
      <c r="K32" s="83">
        <v>0.0</v>
      </c>
      <c r="L32" s="83">
        <v>100.0</v>
      </c>
      <c r="M32" s="91"/>
      <c r="N32" s="99">
        <v>30.76923076923077</v>
      </c>
      <c r="O32" s="98">
        <v>34.61538461538461</v>
      </c>
      <c r="P32" s="24">
        <f t="shared" ref="P32:P35" si="6">(O32-N32)/N32*100</f>
        <v>12.5</v>
      </c>
    </row>
    <row r="33">
      <c r="A33" s="82" t="s">
        <v>133</v>
      </c>
      <c r="B33" s="83">
        <v>100.0</v>
      </c>
      <c r="C33" s="83">
        <v>0.0</v>
      </c>
      <c r="D33" s="83">
        <v>50.0</v>
      </c>
      <c r="E33" s="83">
        <v>100.0</v>
      </c>
      <c r="F33" s="83">
        <v>25.0</v>
      </c>
      <c r="G33" s="83">
        <v>0.0</v>
      </c>
      <c r="H33" s="83">
        <v>0.0</v>
      </c>
      <c r="I33" s="83">
        <v>100.0</v>
      </c>
      <c r="J33" s="83">
        <v>0.0</v>
      </c>
      <c r="K33" s="83">
        <v>0.0</v>
      </c>
      <c r="L33" s="83">
        <v>100.0</v>
      </c>
      <c r="M33" s="96"/>
      <c r="N33" s="97">
        <v>57.692307692307686</v>
      </c>
      <c r="O33" s="97">
        <v>42.30769230769231</v>
      </c>
      <c r="P33" s="24">
        <f t="shared" si="6"/>
        <v>-26.66666667</v>
      </c>
    </row>
    <row r="34">
      <c r="A34" s="82" t="s">
        <v>134</v>
      </c>
      <c r="B34" s="83">
        <v>100.0</v>
      </c>
      <c r="C34" s="83">
        <v>0.0</v>
      </c>
      <c r="D34" s="83">
        <v>50.0</v>
      </c>
      <c r="E34" s="83">
        <v>100.0</v>
      </c>
      <c r="F34" s="83">
        <v>25.0</v>
      </c>
      <c r="G34" s="83">
        <v>50.0</v>
      </c>
      <c r="H34" s="83">
        <v>0.0</v>
      </c>
      <c r="I34" s="83">
        <v>50.0</v>
      </c>
      <c r="J34" s="83">
        <v>0.0</v>
      </c>
      <c r="K34" s="83">
        <v>0.0</v>
      </c>
      <c r="L34" s="83">
        <v>100.0</v>
      </c>
      <c r="M34" s="96"/>
      <c r="N34" s="97">
        <v>50.0</v>
      </c>
      <c r="O34" s="98">
        <v>50.0</v>
      </c>
      <c r="P34" s="24">
        <f t="shared" si="6"/>
        <v>0</v>
      </c>
    </row>
    <row r="35">
      <c r="A35" s="87" t="s">
        <v>135</v>
      </c>
      <c r="B35" s="88">
        <v>100.0</v>
      </c>
      <c r="C35" s="88">
        <v>50.0</v>
      </c>
      <c r="D35" s="88">
        <v>50.0</v>
      </c>
      <c r="E35" s="88">
        <v>0.0</v>
      </c>
      <c r="F35" s="88">
        <v>0.0</v>
      </c>
      <c r="G35" s="88">
        <v>100.0</v>
      </c>
      <c r="H35" s="88">
        <v>0.0</v>
      </c>
      <c r="I35" s="88">
        <v>100.0</v>
      </c>
      <c r="J35" s="88">
        <v>0.0</v>
      </c>
      <c r="K35" s="83">
        <v>0.0</v>
      </c>
      <c r="L35" s="83">
        <v>100.0</v>
      </c>
      <c r="M35" s="91"/>
      <c r="N35" s="99">
        <v>42.30769230769231</v>
      </c>
      <c r="O35" s="98">
        <v>53.84615384615385</v>
      </c>
      <c r="P35" s="24">
        <f t="shared" si="6"/>
        <v>27.27272727</v>
      </c>
    </row>
  </sheetData>
  <mergeCells count="6">
    <mergeCell ref="A1:A2"/>
    <mergeCell ref="B1:C1"/>
    <mergeCell ref="E1:F1"/>
    <mergeCell ref="G1:H1"/>
    <mergeCell ref="I1:J1"/>
    <mergeCell ref="K1:L1"/>
  </mergeCells>
  <conditionalFormatting sqref="A1:L35 M1:N2 O1:O22 P1:P35 M4:N16 M18:N32 O24:O27 O29:O32 O34:O35 M35:N35">
    <cfRule type="cellIs" dxfId="0" priority="1" operator="equal">
      <formula>0</formula>
    </cfRule>
  </conditionalFormatting>
  <conditionalFormatting sqref="A1:L35 M1:N2 O1:O22 P1:P35 M4:N16 M18:N32 O24:O27 O29:O32 O34:O35 M35:N35">
    <cfRule type="cellIs" dxfId="1" priority="2" operator="equal">
      <formula>25</formula>
    </cfRule>
  </conditionalFormatting>
  <conditionalFormatting sqref="A1:L35 M1:N2 O1:O22 P1:P35 M4:N16 M18:N32 O24:O27 O29:O32 O34:O35 M35:N35">
    <cfRule type="cellIs" dxfId="2" priority="3" operator="equal">
      <formula>33</formula>
    </cfRule>
  </conditionalFormatting>
  <conditionalFormatting sqref="A1:L35 M1:N2 O1:O22 P1:P35 M4:N16 M18:N32 O24:O27 O29:O32 O34:O35 M35:N35">
    <cfRule type="cellIs" dxfId="3" priority="4" operator="equal">
      <formula>50</formula>
    </cfRule>
  </conditionalFormatting>
  <conditionalFormatting sqref="A1:L35 M1:N2 O1:O22 P1:P35 M4:N16 M18:N32 O24:O27 O29:O32 O34:O35 M35:N35">
    <cfRule type="cellIs" dxfId="4" priority="5" operator="equal">
      <formula>66</formula>
    </cfRule>
  </conditionalFormatting>
  <conditionalFormatting sqref="A1:L35 M1:N2 O1:O22 P1:P35 M4:N16 M18:N32 O24:O27 O29:O32 O34:O35 M35:N35">
    <cfRule type="cellIs" dxfId="5" priority="6" operator="equal">
      <formula>75</formula>
    </cfRule>
  </conditionalFormatting>
  <conditionalFormatting sqref="A1:L35 M1:N2 O1:O22 P1:P35 M4:N16 M18:N32 O24:O27 O29:O32 O34:O35 M35:N35">
    <cfRule type="cellIs" dxfId="6" priority="7" operator="equal">
      <formula>100</formula>
    </cfRule>
  </conditionalFormatting>
  <conditionalFormatting sqref="A1:L35 M1:N2 O1:O22 P1:P35 M4:N16 M18:N32 O24:O27 O29:O32 O34:O35 M35:N35">
    <cfRule type="containsText" dxfId="7" priority="8" operator="containsText" text="Consistent">
      <formula>NOT(ISERROR(SEARCH(("Consistent"),(A1))))</formula>
    </cfRule>
  </conditionalFormatting>
  <conditionalFormatting sqref="A1:L35 M1:N2 O1:O22 P1:P35 M4:N16 M18:N32 O24:O27 O29:O32 O34:O35 M35:N35">
    <cfRule type="containsText" dxfId="8" priority="9" operator="containsText" text="Improved">
      <formula>NOT(ISERROR(SEARCH(("Improved"),(A1))))</formula>
    </cfRule>
  </conditionalFormatting>
  <conditionalFormatting sqref="A1:L35 M1:N2 O1:O22 P1:P35 M4:N16 M18:N32 O24:O27 O29:O32 O34:O35 M35:N35">
    <cfRule type="containsText" dxfId="9" priority="10" operator="containsText" text="Decreased">
      <formula>NOT(ISERROR(SEARCH(("Decreased"),(A1))))</formula>
    </cfRule>
  </conditionalFormatting>
  <drawing r:id="rId1"/>
</worksheet>
</file>